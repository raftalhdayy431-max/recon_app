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لخص" sheetId="1" r:id="rId1"/>
    <sheet name="جدول المطابقة" sheetId="2" r:id="rId2"/>
    <sheet name="جدول الفروقات" sheetId="3" r:id="rId3"/>
    <sheet name="للمراجعة" sheetId="4" r:id="rId4"/>
    <sheet name="بيانات المحاسب" sheetId="5" r:id="rId5"/>
    <sheet name="بيانات الصرافة" sheetId="6" r:id="rId6"/>
  </sheets>
  <definedNames>
    <definedName name="_xlnm._FilterDatabase" localSheetId="5" hidden="1">'بيانات الصرافة'!$A$4:$H$63</definedName>
    <definedName name="_xlnm._FilterDatabase" localSheetId="4" hidden="1">'بيانات المحاسب'!$A$4:$H$63</definedName>
    <definedName name="_xlnm._FilterDatabase" localSheetId="1" hidden="1">'جدول المطابقة'!$A$4:$W$63</definedName>
    <definedName name="_xlnm.Print_Titles" localSheetId="1">'جدول المطابقة'!$4:$4</definedName>
  </definedNames>
  <calcPr calcId="124519" fullCalcOnLoad="1"/>
</workbook>
</file>

<file path=xl/sharedStrings.xml><?xml version="1.0" encoding="utf-8"?>
<sst xmlns="http://schemas.openxmlformats.org/spreadsheetml/2006/main" count="1300" uniqueCount="167">
  <si>
    <t>جدول المطابقة التفصيلي</t>
  </si>
  <si>
    <t>كل عملية مع مصدرها ونتيجة مطابقتها — استخدم أزرار التصفية في العناوين للفرز والبحث.</t>
  </si>
  <si>
    <t>ملف المحاسب</t>
  </si>
  <si>
    <t>ملف الصرافة</t>
  </si>
  <si>
    <t>#</t>
  </si>
  <si>
    <t>الحالة</t>
  </si>
  <si>
    <t>الأولوية</t>
  </si>
  <si>
    <t>طريقة المطابقة</t>
  </si>
  <si>
    <t>الثقة %</t>
  </si>
  <si>
    <t>المصدر</t>
  </si>
  <si>
    <t>صف المحاسب</t>
  </si>
  <si>
    <t>مرجع المحاسب</t>
  </si>
  <si>
    <t>تاريخ المحاسب</t>
  </si>
  <si>
    <t>اسم (المحاسب)</t>
  </si>
  <si>
    <t>عملة المحاسب</t>
  </si>
  <si>
    <t>مبلغ المحاسب</t>
  </si>
  <si>
    <t>صف الصرافة</t>
  </si>
  <si>
    <t>مرجع الصرافة</t>
  </si>
  <si>
    <t>تاريخ الصرافة</t>
  </si>
  <si>
    <t>اسم (الصرافة)</t>
  </si>
  <si>
    <t>عملة الصرافة</t>
  </si>
  <si>
    <t>مبلغ الصرافة</t>
  </si>
  <si>
    <t>الفرق (محاسب − صرافة)</t>
  </si>
  <si>
    <t>التفسير</t>
  </si>
  <si>
    <t>الإجراء المقترح</t>
  </si>
  <si>
    <t>قرار المراجع</t>
  </si>
  <si>
    <t>ملاحظات المراجع</t>
  </si>
  <si>
    <t>متطابقة</t>
  </si>
  <si>
    <t>—</t>
  </si>
  <si>
    <t>المرجع</t>
  </si>
  <si>
    <t>الاثنان</t>
  </si>
  <si>
    <t>70503764</t>
  </si>
  <si>
    <t>منير قاسم العمري</t>
  </si>
  <si>
    <t>SAR</t>
  </si>
  <si>
    <t>تطابق تام</t>
  </si>
  <si>
    <t>لا إجراء مطلوب</t>
  </si>
  <si>
    <t>70049845</t>
  </si>
  <si>
    <t>علي عبدالرحمن الكاف</t>
  </si>
  <si>
    <t>70077756</t>
  </si>
  <si>
    <t>عبدالله ناصر القاضي</t>
  </si>
  <si>
    <t>USD</t>
  </si>
  <si>
    <t>70030353</t>
  </si>
  <si>
    <t>وليد صادق الأهدل</t>
  </si>
  <si>
    <t>70261565</t>
  </si>
  <si>
    <t>70091963</t>
  </si>
  <si>
    <t>أحمد صالح الشرعبي</t>
  </si>
  <si>
    <t>70152118</t>
  </si>
  <si>
    <t>هشام جميل البكري</t>
  </si>
  <si>
    <t>70170309</t>
  </si>
  <si>
    <t>نبيل أحمد السقاف</t>
  </si>
  <si>
    <t>70340563</t>
  </si>
  <si>
    <t>70450145</t>
  </si>
  <si>
    <t>70296625</t>
  </si>
  <si>
    <t>70954970</t>
  </si>
  <si>
    <t>70342817</t>
  </si>
  <si>
    <t>70575919</t>
  </si>
  <si>
    <t>70544578</t>
  </si>
  <si>
    <t>70181718</t>
  </si>
  <si>
    <t>70156766</t>
  </si>
  <si>
    <t>ياسر محمد الزبيدي</t>
  </si>
  <si>
    <t>70272963</t>
  </si>
  <si>
    <t>70443182</t>
  </si>
  <si>
    <t>فهد حسن العولقي</t>
  </si>
  <si>
    <t>70229807</t>
  </si>
  <si>
    <t>70553160</t>
  </si>
  <si>
    <t>خالد يحيى المقطري</t>
  </si>
  <si>
    <t>YER</t>
  </si>
  <si>
    <t>70538040</t>
  </si>
  <si>
    <t>70817898</t>
  </si>
  <si>
    <t>70590015</t>
  </si>
  <si>
    <t>70991569</t>
  </si>
  <si>
    <t>محمد علي الحداد</t>
  </si>
  <si>
    <t>70603326</t>
  </si>
  <si>
    <t>سعيد عمر باوزير</t>
  </si>
  <si>
    <t>70679563</t>
  </si>
  <si>
    <t>70121965</t>
  </si>
  <si>
    <t>70642281</t>
  </si>
  <si>
    <t>70986142</t>
  </si>
  <si>
    <t>70362004</t>
  </si>
  <si>
    <t>70730070</t>
  </si>
  <si>
    <t>70439485</t>
  </si>
  <si>
    <t>70716887</t>
  </si>
  <si>
    <t>70292335</t>
  </si>
  <si>
    <t>70231254</t>
  </si>
  <si>
    <t>70714451</t>
  </si>
  <si>
    <t>70024658</t>
  </si>
  <si>
    <t>70380146</t>
  </si>
  <si>
    <t>70599646</t>
  </si>
  <si>
    <t>70859084</t>
  </si>
  <si>
    <t>مطابقة ذكية</t>
  </si>
  <si>
    <t>مطابقة ذكية: تطابق المبلغ والتاريخ والاسم بدون مرجع مشترك</t>
  </si>
  <si>
    <t>70179261</t>
  </si>
  <si>
    <t>70030294</t>
  </si>
  <si>
    <t>70988235</t>
  </si>
  <si>
    <t>70996044</t>
  </si>
  <si>
    <t>70144795</t>
  </si>
  <si>
    <t>70942310</t>
  </si>
  <si>
    <t>70542415</t>
  </si>
  <si>
    <t>70959551</t>
  </si>
  <si>
    <t>70493914</t>
  </si>
  <si>
    <t>70412439</t>
  </si>
  <si>
    <t>70384452</t>
  </si>
  <si>
    <t>70536347</t>
  </si>
  <si>
    <t>70391487</t>
  </si>
  <si>
    <t>70335088</t>
  </si>
  <si>
    <t>70066271</t>
  </si>
  <si>
    <t>جدول الفروقات المالية</t>
  </si>
  <si>
    <t>كل فرق مالي مع فئته. مجموع هذا الجدول لكل عملة = إجمالي المحاسب − إجمالي الصرافة.</t>
  </si>
  <si>
    <t>العملة</t>
  </si>
  <si>
    <t>قيمة الفرق</t>
  </si>
  <si>
    <t>فئة الفرق</t>
  </si>
  <si>
    <t>العمليات التي تحتاج إلى مراجعة</t>
  </si>
  <si>
    <t>مرتبة حسب الأولوية. سجّل قرارك وملاحظتك في الأعمدة الصفراء.</t>
  </si>
  <si>
    <t>ما المشكلة؟</t>
  </si>
  <si>
    <t>بيانات ملف المحاسب مع نتيجة المطابقة</t>
  </si>
  <si>
    <t>الملف: ملف_الصرافة.xlsx — ورقة: Transfers. العمودان الأولان يوضحان نتيجة مطابقة كل صف.</t>
  </si>
  <si>
    <t>نتيجة المطابقة</t>
  </si>
  <si>
    <t># في جدول المطابقة</t>
  </si>
  <si>
    <t>Reference</t>
  </si>
  <si>
    <t>Value Date</t>
  </si>
  <si>
    <t>Beneficiary</t>
  </si>
  <si>
    <t>Currency</t>
  </si>
  <si>
    <t>Amount</t>
  </si>
  <si>
    <t>Commission</t>
  </si>
  <si>
    <t>بيانات ملف الصرافة مع نتيجة المطابقة</t>
  </si>
  <si>
    <t>تقرير المطابقة والتسوية المالية</t>
  </si>
  <si>
    <t>أُنشئ في 2026-10-28 05:54  ·  المطابقة والتسوية المالية</t>
  </si>
  <si>
    <t>الملفات</t>
  </si>
  <si>
    <t>ملف_الصرافة.xlsx</t>
  </si>
  <si>
    <t>عدد عمليات المحاسب</t>
  </si>
  <si>
    <t>عدد عمليات الصرافة</t>
  </si>
  <si>
    <t>فترة المحاسب</t>
  </si>
  <si>
    <t>2026-09-01 → 2026-09-28</t>
  </si>
  <si>
    <t>فترة الصرافة</t>
  </si>
  <si>
    <t>اتجاه الإشارات</t>
  </si>
  <si>
    <t>اكتُشف تلقائياً أن الإشارات بنفس الاتجاه (57 مقابل 0 معكوسة)</t>
  </si>
  <si>
    <t>نتائج المطابقة</t>
  </si>
  <si>
    <t>العدد</t>
  </si>
  <si>
    <t>النسبة من الأكبر</t>
  </si>
  <si>
    <t>مختلفة</t>
  </si>
  <si>
    <t>محتملة المطابقة</t>
  </si>
  <si>
    <t>مفقودة في الصرافة</t>
  </si>
  <si>
    <t>مفقودة في ملف المحاسب</t>
  </si>
  <si>
    <t>مكررة</t>
  </si>
  <si>
    <t>إجمالي الصفوف في جدول المطابقة</t>
  </si>
  <si>
    <t>الفروقات المالية وتحليلها (لكل عملة)</t>
  </si>
  <si>
    <t>البند</t>
  </si>
  <si>
    <t>إجمالي ملف المحاسب</t>
  </si>
  <si>
    <t>إجمالي ملف الصرافة (بعد مواءمة الإشارة)</t>
  </si>
  <si>
    <t>الفرق الصافي (محاسب − صرافة)</t>
  </si>
  <si>
    <t>تحليل الفرق الصافي حسب السبب</t>
  </si>
  <si>
    <t>فروقات تقريب</t>
  </si>
  <si>
    <t>مجموع الأسباب</t>
  </si>
  <si>
    <t>التحقق الحسابي (يجب أن يساوي صفراً)</t>
  </si>
  <si>
    <t>✔ مغلق</t>
  </si>
  <si>
    <t>الإعدادات المستخدمة</t>
  </si>
  <si>
    <t>تسامح المبلغ</t>
  </si>
  <si>
    <t>1.0</t>
  </si>
  <si>
    <t>تسامح التاريخ (بالمرجع)</t>
  </si>
  <si>
    <t>7 يوم</t>
  </si>
  <si>
    <t>نافذة التاريخ للمطابقة الذكية</t>
  </si>
  <si>
    <t>10 يوم</t>
  </si>
  <si>
    <t>أعلى نسبة فرق للمطابقة المحتملة</t>
  </si>
  <si>
    <t>5.0%</t>
  </si>
  <si>
    <t>المطابقة الذكية</t>
  </si>
  <si>
    <t>مفعّلة</t>
  </si>
  <si>
    <t>صرامة العملة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</si>
</sst>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#,##0.00;[Red]-#,##0.00"/>
    <numFmt numFmtId="167" formatCode="yyyy-mm-dd"/>
  </numFmts>
  <fonts count="14">
    <font>
      <sz val="11"/>
      <color theme="1"/>
      <name val="Calibri"/>
      <family val="2"/>
      <scheme val="minor"/>
    </font>
    <font>
      <b/>
      <sz val="18"/>
      <color rgb="FF14213D"/>
      <name val="Segoe UI"/>
      <family val="2"/>
    </font>
    <font>
      <sz val="10"/>
      <color rgb="FF5B6472"/>
      <name val="Segoe UI"/>
      <family val="2"/>
    </font>
    <font>
      <b/>
      <sz val="12"/>
      <color rgb="FF14213D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FFFFFF"/>
      <name val="Segoe UI"/>
      <family val="2"/>
    </font>
    <font>
      <b/>
      <sz val="10"/>
      <color rgb="FF14693A"/>
      <name val="Segoe UI"/>
      <family val="2"/>
    </font>
    <font>
      <b/>
      <sz val="10"/>
      <color rgb="FF8A5A00"/>
      <name val="Segoe UI"/>
      <family val="2"/>
    </font>
    <font>
      <b/>
      <sz val="10"/>
      <color rgb="FF1F4FAE"/>
      <name val="Segoe UI"/>
      <family val="2"/>
    </font>
    <font>
      <b/>
      <sz val="10"/>
      <color rgb="FFA1261C"/>
      <name val="Segoe UI"/>
      <family val="2"/>
    </font>
    <font>
      <b/>
      <sz val="10"/>
      <color rgb="FF6B2FB3"/>
      <name val="Segoe UI"/>
      <family val="2"/>
    </font>
    <font>
      <b/>
      <sz val="10"/>
      <color rgb="FF14213D"/>
      <name val="Segoe UI"/>
      <family val="2"/>
    </font>
    <font>
      <sz val="10"/>
      <color rgb="FF98A1AE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  <fill>
      <patternFill patternType="solid">
        <fgColor rgb="FF14213D"/>
        <bgColor indexed="64"/>
      </patternFill>
    </fill>
    <fill>
      <patternFill patternType="solid">
        <fgColor rgb="FFE3F5EA"/>
        <bgColor indexed="64"/>
      </patternFill>
    </fill>
    <fill>
      <patternFill patternType="solid">
        <fgColor rgb="FFFFF1CF"/>
        <bgColor indexed="64"/>
      </patternFill>
    </fill>
    <fill>
      <patternFill patternType="solid">
        <fgColor rgb="FFE0EBFF"/>
        <bgColor indexed="64"/>
      </patternFill>
    </fill>
    <fill>
      <patternFill patternType="solid">
        <fgColor rgb="FFFDE3E1"/>
        <bgColor indexed="64"/>
      </patternFill>
    </fill>
    <fill>
      <patternFill patternType="solid">
        <fgColor rgb="FFEDE2FA"/>
        <bgColor indexed="64"/>
      </patternFill>
    </fill>
    <fill>
      <patternFill patternType="solid">
        <fgColor rgb="FF2A6F97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B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A6F97"/>
      </bottom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readingOrder="2"/>
    </xf>
    <xf numFmtId="0" fontId="2" fillId="0" borderId="0" xfId="0" applyFont="1" applyAlignment="1">
      <alignment vertical="center" readingOrder="2"/>
    </xf>
    <xf numFmtId="0" fontId="3" fillId="0" borderId="1" xfId="0" applyFont="1" applyBorder="1" applyAlignment="1">
      <alignment vertical="center" readingOrder="2"/>
    </xf>
    <xf numFmtId="0" fontId="4" fillId="2" borderId="2" xfId="0" applyFont="1" applyFill="1" applyBorder="1" applyAlignment="1">
      <alignment vertical="center" readingOrder="2"/>
    </xf>
    <xf numFmtId="0" fontId="5" fillId="0" borderId="2" xfId="0" applyFont="1" applyBorder="1" applyAlignment="1">
      <alignment vertical="center" readingOrder="2"/>
    </xf>
    <xf numFmtId="164" fontId="4" fillId="2" borderId="2" xfId="0" applyNumberFormat="1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center" vertical="center" wrapText="1" readingOrder="2"/>
    </xf>
    <xf numFmtId="0" fontId="7" fillId="4" borderId="2" xfId="0" applyFont="1" applyFill="1" applyBorder="1" applyAlignment="1">
      <alignment horizontal="center" vertical="center" readingOrder="2"/>
    </xf>
    <xf numFmtId="165" fontId="4" fillId="0" borderId="2" xfId="0" applyNumberFormat="1" applyFont="1" applyBorder="1" applyAlignment="1">
      <alignment horizontal="center" vertical="center" readingOrder="2"/>
    </xf>
    <xf numFmtId="0" fontId="8" fillId="5" borderId="2" xfId="0" applyFont="1" applyFill="1" applyBorder="1" applyAlignment="1">
      <alignment horizontal="center" vertical="center" readingOrder="2"/>
    </xf>
    <xf numFmtId="0" fontId="9" fillId="6" borderId="2" xfId="0" applyFont="1" applyFill="1" applyBorder="1" applyAlignment="1">
      <alignment horizontal="center" vertical="center" readingOrder="2"/>
    </xf>
    <xf numFmtId="0" fontId="10" fillId="7" borderId="2" xfId="0" applyFont="1" applyFill="1" applyBorder="1" applyAlignment="1">
      <alignment horizontal="center" vertical="center" readingOrder="2"/>
    </xf>
    <xf numFmtId="0" fontId="11" fillId="8" borderId="2" xfId="0" applyFont="1" applyFill="1" applyBorder="1" applyAlignment="1">
      <alignment horizontal="center" vertical="center" readingOrder="2"/>
    </xf>
    <xf numFmtId="166" fontId="5" fillId="0" borderId="2" xfId="0" applyNumberFormat="1" applyFont="1" applyBorder="1" applyAlignment="1">
      <alignment vertical="center" readingOrder="2"/>
    </xf>
    <xf numFmtId="166" fontId="4" fillId="2" borderId="2" xfId="0" applyNumberFormat="1" applyFont="1" applyFill="1" applyBorder="1" applyAlignment="1">
      <alignment vertical="center" readingOrder="2"/>
    </xf>
    <xf numFmtId="0" fontId="6" fillId="9" borderId="2" xfId="0" applyFont="1" applyFill="1" applyBorder="1" applyAlignment="1">
      <alignment horizontal="center" vertical="center" wrapText="1" readingOrder="2"/>
    </xf>
    <xf numFmtId="0" fontId="7" fillId="4" borderId="2" xfId="0" applyFont="1" applyFill="1" applyBorder="1" applyAlignment="1">
      <alignment vertical="center" readingOrder="2"/>
    </xf>
    <xf numFmtId="0" fontId="12" fillId="10" borderId="2" xfId="0" applyFont="1" applyFill="1" applyBorder="1" applyAlignment="1">
      <alignment horizontal="center" vertical="center" readingOrder="2"/>
    </xf>
    <xf numFmtId="164" fontId="5" fillId="0" borderId="2" xfId="0" applyNumberFormat="1" applyFont="1" applyBorder="1" applyAlignment="1">
      <alignment horizontal="center" vertical="center" readingOrder="2"/>
    </xf>
    <xf numFmtId="0" fontId="13" fillId="0" borderId="2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167" fontId="5" fillId="0" borderId="2" xfId="0" applyNumberFormat="1" applyFont="1" applyBorder="1" applyAlignment="1">
      <alignment horizontal="center" vertical="center" readingOrder="2"/>
    </xf>
    <xf numFmtId="0" fontId="5" fillId="0" borderId="2" xfId="0" applyFont="1" applyBorder="1" applyAlignment="1">
      <alignment vertical="top" wrapText="1" readingOrder="2"/>
    </xf>
    <xf numFmtId="0" fontId="5" fillId="11" borderId="2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توزيع نتائج المطابقة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نتائج المطابقة</c:v>
          </c:tx>
          <c:dPt>
            <c:idx val="0"/>
            <c:spPr>
              <a:solidFill>
                <a:srgbClr val="2E9E5B"/>
              </a:solidFill>
            </c:spPr>
          </c:dPt>
          <c:dPt>
            <c:idx val="1"/>
            <c:spPr>
              <a:solidFill>
                <a:srgbClr val="E6A100"/>
              </a:solidFill>
            </c:spPr>
          </c:dPt>
          <c:dPt>
            <c:idx val="2"/>
            <c:spPr>
              <a:solidFill>
                <a:srgbClr val="3B7DDD"/>
              </a:solidFill>
            </c:spPr>
          </c:dPt>
          <c:dPt>
            <c:idx val="3"/>
            <c:spPr>
              <a:solidFill>
                <a:srgbClr val="D64535"/>
              </a:solidFill>
            </c:spPr>
          </c:dPt>
          <c:dPt>
            <c:idx val="4"/>
            <c:spPr>
              <a:solidFill>
                <a:srgbClr val="B2362B"/>
              </a:solidFill>
            </c:spPr>
          </c:dPt>
          <c:dPt>
            <c:idx val="5"/>
            <c:spPr>
              <a:solidFill>
                <a:srgbClr val="8E4FD1"/>
              </a:solidFill>
            </c:spPr>
          </c:dPt>
          <c:dLbls>
            <c:showVal val="1"/>
          </c:dLbls>
          <c:cat>
            <c:strRef>
              <c:f>الملخص!$B$15:$B$20</c:f>
              <c:strCache>
                <c:ptCount val="6"/>
                <c:pt idx="0">
                  <c:v>متطابقة</c:v>
                </c:pt>
                <c:pt idx="1">
                  <c:v>مختلفة</c:v>
                </c:pt>
                <c:pt idx="2">
                  <c:v>محتملة المطابقة</c:v>
                </c:pt>
                <c:pt idx="3">
                  <c:v>مفقودة في الصرافة</c:v>
                </c:pt>
                <c:pt idx="4">
                  <c:v>مفقودة في ملف المحاسب</c:v>
                </c:pt>
                <c:pt idx="5">
                  <c:v>مكررة</c:v>
                </c:pt>
              </c:strCache>
            </c:strRef>
          </c:cat>
          <c:val>
            <c:numRef>
              <c:f>الملخص!$C$15:$C$20</c:f>
              <c:numCache>
                <c:formatCode>General</c:formatCode>
                <c:ptCount val="6"/>
                <c:pt idx="0">
                  <c:v>59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أسباب الفرق الصافي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SAR</c:v>
          </c:tx>
          <c:cat>
            <c:strRef>
              <c:f>الملخص!$B$31</c:f>
              <c:strCache>
                <c:ptCount val="1"/>
                <c:pt idx="0">
                  <c:v>فروقات تقريب</c:v>
                </c:pt>
              </c:strCache>
            </c:strRef>
          </c:cat>
          <c:val>
            <c:numRef>
              <c:f>الملخص!$C$31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USD</c:v>
          </c:tx>
          <c:cat>
            <c:strRef>
              <c:f>الملخص!$B$31</c:f>
              <c:strCache>
                <c:ptCount val="1"/>
                <c:pt idx="0">
                  <c:v>فروقات تقريب</c:v>
                </c:pt>
              </c:strCache>
            </c:strRef>
          </c:cat>
          <c:val>
            <c:numRef>
              <c:f>الملخص!$D$31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YER</c:v>
          </c:tx>
          <c:cat>
            <c:strRef>
              <c:f>الملخص!$B$31</c:f>
              <c:strCache>
                <c:ptCount val="1"/>
                <c:pt idx="0">
                  <c:v>فروقات تقريب</c:v>
                </c:pt>
              </c:strCache>
            </c:strRef>
          </c:cat>
          <c:val>
            <c:numRef>
              <c:f>الملخص!$E$31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13</xdr:col>
      <xdr:colOff>476250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13</xdr:col>
      <xdr:colOff>476250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B1:G41"/>
  <sheetViews>
    <sheetView showGridLines="0" rightToLeft="1" tabSelected="1" workbookViewId="0"/>
  </sheetViews>
  <sheetFormatPr defaultRowHeight="15"/>
  <cols>
    <col min="1" max="1" width="3.7109375" customWidth="1"/>
    <col min="2" max="2" width="46.7109375" customWidth="1"/>
    <col min="3" max="9" width="17.7109375" customWidth="1"/>
  </cols>
  <sheetData>
    <row r="1" spans="2:7" ht="30" customHeight="1">
      <c r="B1" s="1" t="s">
        <v>125</v>
      </c>
    </row>
    <row r="2" spans="2:7">
      <c r="B2" s="2" t="s">
        <v>126</v>
      </c>
    </row>
    <row r="4" spans="2:7">
      <c r="B4" s="3" t="s">
        <v>127</v>
      </c>
    </row>
    <row r="5" spans="2:7">
      <c r="B5" s="4" t="s">
        <v>2</v>
      </c>
      <c r="C5" s="5" t="s">
        <v>128</v>
      </c>
      <c r="D5" s="5"/>
      <c r="E5" s="5"/>
      <c r="F5" s="5"/>
      <c r="G5" s="5"/>
    </row>
    <row r="6" spans="2:7">
      <c r="B6" s="4" t="s">
        <v>3</v>
      </c>
      <c r="C6" s="5" t="s">
        <v>128</v>
      </c>
      <c r="D6" s="5"/>
      <c r="E6" s="5"/>
      <c r="F6" s="5"/>
      <c r="G6" s="5"/>
    </row>
    <row r="7" spans="2:7">
      <c r="B7" s="4" t="s">
        <v>129</v>
      </c>
      <c r="C7" s="6">
        <v>59</v>
      </c>
    </row>
    <row r="8" spans="2:7">
      <c r="B8" s="4" t="s">
        <v>130</v>
      </c>
      <c r="C8" s="6">
        <v>59</v>
      </c>
    </row>
    <row r="9" spans="2:7">
      <c r="B9" s="4" t="s">
        <v>131</v>
      </c>
      <c r="C9" s="5" t="s">
        <v>132</v>
      </c>
      <c r="D9" s="5"/>
      <c r="E9" s="5"/>
      <c r="F9" s="5"/>
      <c r="G9" s="5"/>
    </row>
    <row r="10" spans="2:7">
      <c r="B10" s="4" t="s">
        <v>133</v>
      </c>
      <c r="C10" s="5" t="s">
        <v>132</v>
      </c>
      <c r="D10" s="5"/>
      <c r="E10" s="5"/>
      <c r="F10" s="5"/>
      <c r="G10" s="5"/>
    </row>
    <row r="11" spans="2:7">
      <c r="B11" s="4" t="s">
        <v>134</v>
      </c>
      <c r="C11" s="5" t="s">
        <v>135</v>
      </c>
      <c r="D11" s="5"/>
      <c r="E11" s="5"/>
      <c r="F11" s="5"/>
      <c r="G11" s="5"/>
    </row>
    <row r="13" spans="2:7">
      <c r="B13" s="3" t="s">
        <v>136</v>
      </c>
    </row>
    <row r="14" spans="2:7">
      <c r="B14" s="7" t="s">
        <v>5</v>
      </c>
      <c r="C14" s="7" t="s">
        <v>137</v>
      </c>
      <c r="D14" s="7" t="s">
        <v>138</v>
      </c>
    </row>
    <row r="15" spans="2:7">
      <c r="B15" s="8" t="s">
        <v>27</v>
      </c>
      <c r="C15" s="6">
        <f>COUNTIF('جدول المطابقة'!$B$5:$B$63,B15)</f>
        <v>59</v>
      </c>
      <c r="D15" s="9">
        <f>C15/59</f>
        <v>1.0</v>
      </c>
    </row>
    <row r="16" spans="2:7">
      <c r="B16" s="10" t="s">
        <v>139</v>
      </c>
      <c r="C16" s="6">
        <f>COUNTIF('جدول المطابقة'!$B$5:$B$63,B16)</f>
        <v>0</v>
      </c>
      <c r="D16" s="9">
        <f>C16/59</f>
        <v>0.0</v>
      </c>
    </row>
    <row r="17" spans="2:5">
      <c r="B17" s="11" t="s">
        <v>140</v>
      </c>
      <c r="C17" s="6">
        <f>COUNTIF('جدول المطابقة'!$B$5:$B$63,B17)</f>
        <v>0</v>
      </c>
      <c r="D17" s="9">
        <f>C17/59</f>
        <v>0.0</v>
      </c>
    </row>
    <row r="18" spans="2:5">
      <c r="B18" s="12" t="s">
        <v>141</v>
      </c>
      <c r="C18" s="6">
        <f>COUNTIF('جدول المطابقة'!$B$5:$B$63,B18)</f>
        <v>0</v>
      </c>
      <c r="D18" s="9">
        <f>C18/59</f>
        <v>0.0</v>
      </c>
    </row>
    <row r="19" spans="2:5">
      <c r="B19" s="12" t="s">
        <v>142</v>
      </c>
      <c r="C19" s="6">
        <f>COUNTIF('جدول المطابقة'!$B$5:$B$63,B19)</f>
        <v>0</v>
      </c>
      <c r="D19" s="9">
        <f>C19/59</f>
        <v>0.0</v>
      </c>
    </row>
    <row r="20" spans="2:5">
      <c r="B20" s="13" t="s">
        <v>143</v>
      </c>
      <c r="C20" s="6">
        <f>COUNTIF('جدول المطابقة'!$B$5:$B$63,B20)</f>
        <v>0</v>
      </c>
      <c r="D20" s="9">
        <f>C20/59</f>
        <v>0.0</v>
      </c>
    </row>
    <row r="21" spans="2:5">
      <c r="B21" s="4" t="s">
        <v>144</v>
      </c>
      <c r="C21" s="6">
        <f>SUM(C15:C20)</f>
        <v>59</v>
      </c>
    </row>
    <row r="24" spans="2:5">
      <c r="B24" s="3" t="s">
        <v>145</v>
      </c>
    </row>
    <row r="25" spans="2:5">
      <c r="B25" s="7" t="s">
        <v>146</v>
      </c>
      <c r="C25" s="7" t="s">
        <v>33</v>
      </c>
      <c r="D25" s="7" t="s">
        <v>40</v>
      </c>
      <c r="E25" s="7" t="s">
        <v>66</v>
      </c>
    </row>
    <row r="26" spans="2:5">
      <c r="B26" s="4" t="s">
        <v>147</v>
      </c>
      <c r="C26" s="14">
        <v>325314.75</v>
      </c>
      <c r="D26" s="14">
        <v>149834</v>
      </c>
      <c r="E26" s="14">
        <v>26639</v>
      </c>
    </row>
    <row r="27" spans="2:5">
      <c r="B27" s="4" t="s">
        <v>148</v>
      </c>
      <c r="C27" s="14">
        <v>325314.75</v>
      </c>
      <c r="D27" s="14">
        <v>149834</v>
      </c>
      <c r="E27" s="14">
        <v>26639</v>
      </c>
    </row>
    <row r="28" spans="2:5">
      <c r="B28" s="4" t="s">
        <v>149</v>
      </c>
      <c r="C28" s="15">
        <v>0</v>
      </c>
      <c r="D28" s="15">
        <v>0</v>
      </c>
      <c r="E28" s="15">
        <v>0</v>
      </c>
    </row>
    <row r="30" spans="2:5">
      <c r="B30" s="16" t="s">
        <v>150</v>
      </c>
      <c r="C30" s="16" t="s">
        <v>33</v>
      </c>
      <c r="D30" s="16" t="s">
        <v>40</v>
      </c>
      <c r="E30" s="16" t="s">
        <v>66</v>
      </c>
    </row>
    <row r="31" spans="2:5">
      <c r="B31" s="5" t="s">
        <v>151</v>
      </c>
      <c r="C31" s="14">
        <v>0</v>
      </c>
      <c r="D31" s="14">
        <v>0</v>
      </c>
      <c r="E31" s="14">
        <v>0</v>
      </c>
    </row>
    <row r="32" spans="2:5">
      <c r="B32" s="4" t="s">
        <v>152</v>
      </c>
      <c r="C32" s="15">
        <f>SUM(C31:C31)</f>
        <v>0.0</v>
      </c>
      <c r="D32" s="15">
        <f>SUM(D31:D31)</f>
        <v>0.0</v>
      </c>
      <c r="E32" s="15">
        <f>SUM(E31:E31)</f>
        <v>0.0</v>
      </c>
    </row>
    <row r="33" spans="2:5">
      <c r="B33" s="4" t="s">
        <v>153</v>
      </c>
      <c r="C33" s="17" t="s">
        <v>154</v>
      </c>
      <c r="D33" s="17" t="s">
        <v>154</v>
      </c>
      <c r="E33" s="17" t="s">
        <v>154</v>
      </c>
    </row>
    <row r="35" spans="2:5">
      <c r="B35" s="3" t="s">
        <v>155</v>
      </c>
    </row>
    <row r="36" spans="2:5">
      <c r="B36" s="4" t="s">
        <v>156</v>
      </c>
      <c r="C36" s="5" t="s">
        <v>157</v>
      </c>
    </row>
    <row r="37" spans="2:5">
      <c r="B37" s="4" t="s">
        <v>158</v>
      </c>
      <c r="C37" s="5" t="s">
        <v>159</v>
      </c>
    </row>
    <row r="38" spans="2:5">
      <c r="B38" s="4" t="s">
        <v>160</v>
      </c>
      <c r="C38" s="5" t="s">
        <v>161</v>
      </c>
    </row>
    <row r="39" spans="2:5">
      <c r="B39" s="4" t="s">
        <v>162</v>
      </c>
      <c r="C39" s="5" t="s">
        <v>163</v>
      </c>
    </row>
    <row r="40" spans="2:5">
      <c r="B40" s="4" t="s">
        <v>164</v>
      </c>
      <c r="C40" s="5" t="s">
        <v>165</v>
      </c>
    </row>
    <row r="41" spans="2:5">
      <c r="B41" s="4" t="s">
        <v>166</v>
      </c>
      <c r="C41" s="5" t="s">
        <v>165</v>
      </c>
    </row>
  </sheetData>
  <mergeCells count="5">
    <mergeCell ref="C5:G5"/>
    <mergeCell ref="C6:G6"/>
    <mergeCell ref="C9:G9"/>
    <mergeCell ref="C10:G10"/>
    <mergeCell ref="C11:G11"/>
  </mergeCells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6F97"/>
    <pageSetUpPr fitToPage="1"/>
  </sheetPr>
  <dimension ref="A1:W63"/>
  <sheetViews>
    <sheetView showGridLines="0" rightToLeft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8.7109375" customWidth="1"/>
    <col min="3" max="3" width="9.7109375" customWidth="1"/>
    <col min="4" max="4" width="16.7109375" customWidth="1"/>
    <col min="5" max="5" width="8.7109375" customWidth="1"/>
    <col min="6" max="6" width="10.7109375" customWidth="1"/>
    <col min="7" max="7" width="9.7109375" customWidth="1"/>
    <col min="8" max="8" width="15.7109375" customWidth="1"/>
    <col min="9" max="9" width="12.7109375" customWidth="1"/>
    <col min="10" max="10" width="20.7109375" customWidth="1"/>
    <col min="11" max="11" width="9.7109375" customWidth="1"/>
    <col min="12" max="12" width="14.7109375" customWidth="1"/>
    <col min="13" max="13" width="9.7109375" customWidth="1"/>
    <col min="14" max="14" width="15.7109375" customWidth="1"/>
    <col min="15" max="15" width="12.7109375" customWidth="1"/>
    <col min="16" max="16" width="20.7109375" customWidth="1"/>
    <col min="17" max="17" width="9.7109375" customWidth="1"/>
    <col min="18" max="18" width="14.7109375" customWidth="1"/>
    <col min="19" max="19" width="16.7109375" customWidth="1"/>
    <col min="20" max="20" width="58.7109375" customWidth="1"/>
    <col min="21" max="21" width="52.7109375" customWidth="1"/>
    <col min="22" max="22" width="14.7109375" customWidth="1"/>
    <col min="23" max="23" width="30.7109375" customWidth="1"/>
  </cols>
  <sheetData>
    <row r="1" spans="1:23">
      <c r="A1" s="1" t="s">
        <v>0</v>
      </c>
    </row>
    <row r="2" spans="1:23">
      <c r="A2" s="2" t="s">
        <v>1</v>
      </c>
    </row>
    <row r="3" spans="1:23">
      <c r="G3" s="18" t="s">
        <v>2</v>
      </c>
      <c r="H3" s="18"/>
      <c r="I3" s="18"/>
      <c r="J3" s="18"/>
      <c r="K3" s="18"/>
      <c r="L3" s="18"/>
      <c r="M3" s="18" t="s">
        <v>3</v>
      </c>
      <c r="N3" s="18"/>
      <c r="O3" s="18"/>
      <c r="P3" s="18"/>
      <c r="Q3" s="18"/>
      <c r="R3" s="18"/>
    </row>
    <row r="4" spans="1:23" ht="32.25" customHeight="1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</row>
    <row r="5" spans="1:23">
      <c r="A5" s="19">
        <v>1</v>
      </c>
      <c r="B5" s="8" t="s">
        <v>27</v>
      </c>
      <c r="C5" s="20" t="s">
        <v>28</v>
      </c>
      <c r="D5" s="21" t="s">
        <v>29</v>
      </c>
      <c r="E5" s="19">
        <v>100</v>
      </c>
      <c r="F5" s="21" t="s">
        <v>30</v>
      </c>
      <c r="G5" s="19">
        <v>2</v>
      </c>
      <c r="H5" s="21" t="s">
        <v>31</v>
      </c>
      <c r="I5" s="22">
        <v>46286</v>
      </c>
      <c r="J5" s="5" t="s">
        <v>32</v>
      </c>
      <c r="K5" s="21" t="s">
        <v>33</v>
      </c>
      <c r="L5" s="14">
        <v>7582</v>
      </c>
      <c r="M5" s="19">
        <v>2</v>
      </c>
      <c r="N5" s="21" t="s">
        <v>31</v>
      </c>
      <c r="O5" s="22">
        <v>46286</v>
      </c>
      <c r="P5" s="5" t="s">
        <v>32</v>
      </c>
      <c r="Q5" s="21" t="s">
        <v>33</v>
      </c>
      <c r="R5" s="14">
        <v>7582</v>
      </c>
      <c r="S5" s="15">
        <v>0</v>
      </c>
      <c r="T5" s="23" t="s">
        <v>34</v>
      </c>
      <c r="U5" s="23" t="s">
        <v>35</v>
      </c>
      <c r="V5" s="24"/>
      <c r="W5" s="24"/>
    </row>
    <row r="6" spans="1:23">
      <c r="A6" s="19">
        <v>2</v>
      </c>
      <c r="B6" s="8" t="s">
        <v>27</v>
      </c>
      <c r="C6" s="20" t="s">
        <v>28</v>
      </c>
      <c r="D6" s="21" t="s">
        <v>29</v>
      </c>
      <c r="E6" s="19">
        <v>100</v>
      </c>
      <c r="F6" s="21" t="s">
        <v>30</v>
      </c>
      <c r="G6" s="19">
        <v>3</v>
      </c>
      <c r="H6" s="21" t="s">
        <v>36</v>
      </c>
      <c r="I6" s="22">
        <v>46283</v>
      </c>
      <c r="J6" s="5" t="s">
        <v>37</v>
      </c>
      <c r="K6" s="21" t="s">
        <v>33</v>
      </c>
      <c r="L6" s="14">
        <v>1537</v>
      </c>
      <c r="M6" s="19">
        <v>3</v>
      </c>
      <c r="N6" s="21" t="s">
        <v>36</v>
      </c>
      <c r="O6" s="22">
        <v>46283</v>
      </c>
      <c r="P6" s="5" t="s">
        <v>37</v>
      </c>
      <c r="Q6" s="21" t="s">
        <v>33</v>
      </c>
      <c r="R6" s="14">
        <v>1537</v>
      </c>
      <c r="S6" s="15">
        <v>0</v>
      </c>
      <c r="T6" s="23" t="s">
        <v>34</v>
      </c>
      <c r="U6" s="23" t="s">
        <v>35</v>
      </c>
      <c r="V6" s="24"/>
      <c r="W6" s="24"/>
    </row>
    <row r="7" spans="1:23">
      <c r="A7" s="19">
        <v>3</v>
      </c>
      <c r="B7" s="8" t="s">
        <v>27</v>
      </c>
      <c r="C7" s="20" t="s">
        <v>28</v>
      </c>
      <c r="D7" s="21" t="s">
        <v>29</v>
      </c>
      <c r="E7" s="19">
        <v>100</v>
      </c>
      <c r="F7" s="21" t="s">
        <v>30</v>
      </c>
      <c r="G7" s="19">
        <v>4</v>
      </c>
      <c r="H7" s="21" t="s">
        <v>38</v>
      </c>
      <c r="I7" s="22">
        <v>46278</v>
      </c>
      <c r="J7" s="5" t="s">
        <v>39</v>
      </c>
      <c r="K7" s="21" t="s">
        <v>40</v>
      </c>
      <c r="L7" s="14">
        <v>12021</v>
      </c>
      <c r="M7" s="19">
        <v>4</v>
      </c>
      <c r="N7" s="21" t="s">
        <v>38</v>
      </c>
      <c r="O7" s="22">
        <v>46278</v>
      </c>
      <c r="P7" s="5" t="s">
        <v>39</v>
      </c>
      <c r="Q7" s="21" t="s">
        <v>40</v>
      </c>
      <c r="R7" s="14">
        <v>12021</v>
      </c>
      <c r="S7" s="15">
        <v>0</v>
      </c>
      <c r="T7" s="23" t="s">
        <v>34</v>
      </c>
      <c r="U7" s="23" t="s">
        <v>35</v>
      </c>
      <c r="V7" s="24"/>
      <c r="W7" s="24"/>
    </row>
    <row r="8" spans="1:23">
      <c r="A8" s="19">
        <v>4</v>
      </c>
      <c r="B8" s="8" t="s">
        <v>27</v>
      </c>
      <c r="C8" s="20" t="s">
        <v>28</v>
      </c>
      <c r="D8" s="21" t="s">
        <v>29</v>
      </c>
      <c r="E8" s="19">
        <v>100</v>
      </c>
      <c r="F8" s="21" t="s">
        <v>30</v>
      </c>
      <c r="G8" s="19">
        <v>5</v>
      </c>
      <c r="H8" s="21" t="s">
        <v>41</v>
      </c>
      <c r="I8" s="22">
        <v>46274</v>
      </c>
      <c r="J8" s="5" t="s">
        <v>42</v>
      </c>
      <c r="K8" s="21" t="s">
        <v>33</v>
      </c>
      <c r="L8" s="14">
        <v>25370</v>
      </c>
      <c r="M8" s="19">
        <v>5</v>
      </c>
      <c r="N8" s="21" t="s">
        <v>41</v>
      </c>
      <c r="O8" s="22">
        <v>46274</v>
      </c>
      <c r="P8" s="5" t="s">
        <v>42</v>
      </c>
      <c r="Q8" s="21" t="s">
        <v>33</v>
      </c>
      <c r="R8" s="14">
        <v>25370</v>
      </c>
      <c r="S8" s="15">
        <v>0</v>
      </c>
      <c r="T8" s="23" t="s">
        <v>34</v>
      </c>
      <c r="U8" s="23" t="s">
        <v>35</v>
      </c>
      <c r="V8" s="24"/>
      <c r="W8" s="24"/>
    </row>
    <row r="9" spans="1:23">
      <c r="A9" s="19">
        <v>5</v>
      </c>
      <c r="B9" s="8" t="s">
        <v>27</v>
      </c>
      <c r="C9" s="20" t="s">
        <v>28</v>
      </c>
      <c r="D9" s="21" t="s">
        <v>29</v>
      </c>
      <c r="E9" s="19">
        <v>100</v>
      </c>
      <c r="F9" s="21" t="s">
        <v>30</v>
      </c>
      <c r="G9" s="19">
        <v>6</v>
      </c>
      <c r="H9" s="21" t="s">
        <v>43</v>
      </c>
      <c r="I9" s="22">
        <v>46272</v>
      </c>
      <c r="J9" s="5" t="s">
        <v>37</v>
      </c>
      <c r="K9" s="21" t="s">
        <v>40</v>
      </c>
      <c r="L9" s="14">
        <v>4005</v>
      </c>
      <c r="M9" s="19">
        <v>6</v>
      </c>
      <c r="N9" s="21" t="s">
        <v>43</v>
      </c>
      <c r="O9" s="22">
        <v>46272</v>
      </c>
      <c r="P9" s="5" t="s">
        <v>37</v>
      </c>
      <c r="Q9" s="21" t="s">
        <v>40</v>
      </c>
      <c r="R9" s="14">
        <v>4005</v>
      </c>
      <c r="S9" s="15">
        <v>0</v>
      </c>
      <c r="T9" s="23" t="s">
        <v>34</v>
      </c>
      <c r="U9" s="23" t="s">
        <v>35</v>
      </c>
      <c r="V9" s="24"/>
      <c r="W9" s="24"/>
    </row>
    <row r="10" spans="1:23">
      <c r="A10" s="19">
        <v>6</v>
      </c>
      <c r="B10" s="8" t="s">
        <v>27</v>
      </c>
      <c r="C10" s="20" t="s">
        <v>28</v>
      </c>
      <c r="D10" s="21" t="s">
        <v>29</v>
      </c>
      <c r="E10" s="19">
        <v>100</v>
      </c>
      <c r="F10" s="21" t="s">
        <v>30</v>
      </c>
      <c r="G10" s="19">
        <v>7</v>
      </c>
      <c r="H10" s="21" t="s">
        <v>44</v>
      </c>
      <c r="I10" s="22">
        <v>46291</v>
      </c>
      <c r="J10" s="5" t="s">
        <v>45</v>
      </c>
      <c r="K10" s="21" t="s">
        <v>33</v>
      </c>
      <c r="L10" s="14">
        <v>12095</v>
      </c>
      <c r="M10" s="19">
        <v>7</v>
      </c>
      <c r="N10" s="21" t="s">
        <v>44</v>
      </c>
      <c r="O10" s="22">
        <v>46291</v>
      </c>
      <c r="P10" s="5" t="s">
        <v>45</v>
      </c>
      <c r="Q10" s="21" t="s">
        <v>33</v>
      </c>
      <c r="R10" s="14">
        <v>12095</v>
      </c>
      <c r="S10" s="15">
        <v>0</v>
      </c>
      <c r="T10" s="23" t="s">
        <v>34</v>
      </c>
      <c r="U10" s="23" t="s">
        <v>35</v>
      </c>
      <c r="V10" s="24"/>
      <c r="W10" s="24"/>
    </row>
    <row r="11" spans="1:23">
      <c r="A11" s="19">
        <v>7</v>
      </c>
      <c r="B11" s="8" t="s">
        <v>27</v>
      </c>
      <c r="C11" s="20" t="s">
        <v>28</v>
      </c>
      <c r="D11" s="21" t="s">
        <v>29</v>
      </c>
      <c r="E11" s="19">
        <v>100</v>
      </c>
      <c r="F11" s="21" t="s">
        <v>30</v>
      </c>
      <c r="G11" s="19">
        <v>8</v>
      </c>
      <c r="H11" s="21" t="s">
        <v>46</v>
      </c>
      <c r="I11" s="22">
        <v>46269</v>
      </c>
      <c r="J11" s="5" t="s">
        <v>47</v>
      </c>
      <c r="K11" s="21" t="s">
        <v>33</v>
      </c>
      <c r="L11" s="14">
        <v>7594</v>
      </c>
      <c r="M11" s="19">
        <v>8</v>
      </c>
      <c r="N11" s="21" t="s">
        <v>46</v>
      </c>
      <c r="O11" s="22">
        <v>46269</v>
      </c>
      <c r="P11" s="5" t="s">
        <v>47</v>
      </c>
      <c r="Q11" s="21" t="s">
        <v>33</v>
      </c>
      <c r="R11" s="14">
        <v>7594</v>
      </c>
      <c r="S11" s="15">
        <v>0</v>
      </c>
      <c r="T11" s="23" t="s">
        <v>34</v>
      </c>
      <c r="U11" s="23" t="s">
        <v>35</v>
      </c>
      <c r="V11" s="24"/>
      <c r="W11" s="24"/>
    </row>
    <row r="12" spans="1:23">
      <c r="A12" s="19">
        <v>8</v>
      </c>
      <c r="B12" s="8" t="s">
        <v>27</v>
      </c>
      <c r="C12" s="20" t="s">
        <v>28</v>
      </c>
      <c r="D12" s="21" t="s">
        <v>29</v>
      </c>
      <c r="E12" s="19">
        <v>100</v>
      </c>
      <c r="F12" s="21" t="s">
        <v>30</v>
      </c>
      <c r="G12" s="19">
        <v>9</v>
      </c>
      <c r="H12" s="21" t="s">
        <v>48</v>
      </c>
      <c r="I12" s="22">
        <v>46288</v>
      </c>
      <c r="J12" s="5" t="s">
        <v>49</v>
      </c>
      <c r="K12" s="21" t="s">
        <v>33</v>
      </c>
      <c r="L12" s="14">
        <v>12065</v>
      </c>
      <c r="M12" s="19">
        <v>9</v>
      </c>
      <c r="N12" s="21" t="s">
        <v>48</v>
      </c>
      <c r="O12" s="22">
        <v>46288</v>
      </c>
      <c r="P12" s="5" t="s">
        <v>49</v>
      </c>
      <c r="Q12" s="21" t="s">
        <v>33</v>
      </c>
      <c r="R12" s="14">
        <v>12065</v>
      </c>
      <c r="S12" s="15">
        <v>0</v>
      </c>
      <c r="T12" s="23" t="s">
        <v>34</v>
      </c>
      <c r="U12" s="23" t="s">
        <v>35</v>
      </c>
      <c r="V12" s="24"/>
      <c r="W12" s="24"/>
    </row>
    <row r="13" spans="1:23">
      <c r="A13" s="19">
        <v>9</v>
      </c>
      <c r="B13" s="8" t="s">
        <v>27</v>
      </c>
      <c r="C13" s="20" t="s">
        <v>28</v>
      </c>
      <c r="D13" s="21" t="s">
        <v>29</v>
      </c>
      <c r="E13" s="19">
        <v>100</v>
      </c>
      <c r="F13" s="21" t="s">
        <v>30</v>
      </c>
      <c r="G13" s="19">
        <v>10</v>
      </c>
      <c r="H13" s="21" t="s">
        <v>50</v>
      </c>
      <c r="I13" s="22">
        <v>46270</v>
      </c>
      <c r="J13" s="5" t="s">
        <v>37</v>
      </c>
      <c r="K13" s="21" t="s">
        <v>33</v>
      </c>
      <c r="L13" s="14">
        <v>12083</v>
      </c>
      <c r="M13" s="19">
        <v>10</v>
      </c>
      <c r="N13" s="21" t="s">
        <v>50</v>
      </c>
      <c r="O13" s="22">
        <v>46270</v>
      </c>
      <c r="P13" s="5" t="s">
        <v>37</v>
      </c>
      <c r="Q13" s="21" t="s">
        <v>33</v>
      </c>
      <c r="R13" s="14">
        <v>12083</v>
      </c>
      <c r="S13" s="15">
        <v>0</v>
      </c>
      <c r="T13" s="23" t="s">
        <v>34</v>
      </c>
      <c r="U13" s="23" t="s">
        <v>35</v>
      </c>
      <c r="V13" s="24"/>
      <c r="W13" s="24"/>
    </row>
    <row r="14" spans="1:23">
      <c r="A14" s="19">
        <v>10</v>
      </c>
      <c r="B14" s="8" t="s">
        <v>27</v>
      </c>
      <c r="C14" s="20" t="s">
        <v>28</v>
      </c>
      <c r="D14" s="21" t="s">
        <v>29</v>
      </c>
      <c r="E14" s="19">
        <v>100</v>
      </c>
      <c r="F14" s="21" t="s">
        <v>30</v>
      </c>
      <c r="G14" s="19">
        <v>11</v>
      </c>
      <c r="H14" s="21" t="s">
        <v>51</v>
      </c>
      <c r="I14" s="22">
        <v>46268</v>
      </c>
      <c r="J14" s="5" t="s">
        <v>45</v>
      </c>
      <c r="K14" s="21" t="s">
        <v>33</v>
      </c>
      <c r="L14" s="14">
        <v>2585</v>
      </c>
      <c r="M14" s="19">
        <v>11</v>
      </c>
      <c r="N14" s="21" t="s">
        <v>51</v>
      </c>
      <c r="O14" s="22">
        <v>46268</v>
      </c>
      <c r="P14" s="5" t="s">
        <v>45</v>
      </c>
      <c r="Q14" s="21" t="s">
        <v>33</v>
      </c>
      <c r="R14" s="14">
        <v>2585</v>
      </c>
      <c r="S14" s="15">
        <v>0</v>
      </c>
      <c r="T14" s="23" t="s">
        <v>34</v>
      </c>
      <c r="U14" s="23" t="s">
        <v>35</v>
      </c>
      <c r="V14" s="24"/>
      <c r="W14" s="24"/>
    </row>
    <row r="15" spans="1:23">
      <c r="A15" s="19">
        <v>11</v>
      </c>
      <c r="B15" s="8" t="s">
        <v>27</v>
      </c>
      <c r="C15" s="20" t="s">
        <v>28</v>
      </c>
      <c r="D15" s="21" t="s">
        <v>29</v>
      </c>
      <c r="E15" s="19">
        <v>100</v>
      </c>
      <c r="F15" s="21" t="s">
        <v>30</v>
      </c>
      <c r="G15" s="19">
        <v>12</v>
      </c>
      <c r="H15" s="21" t="s">
        <v>52</v>
      </c>
      <c r="I15" s="22">
        <v>46266</v>
      </c>
      <c r="J15" s="5" t="s">
        <v>42</v>
      </c>
      <c r="K15" s="21" t="s">
        <v>33</v>
      </c>
      <c r="L15" s="14">
        <v>1553</v>
      </c>
      <c r="M15" s="19">
        <v>12</v>
      </c>
      <c r="N15" s="21" t="s">
        <v>52</v>
      </c>
      <c r="O15" s="22">
        <v>46266</v>
      </c>
      <c r="P15" s="5" t="s">
        <v>42</v>
      </c>
      <c r="Q15" s="21" t="s">
        <v>33</v>
      </c>
      <c r="R15" s="14">
        <v>1553</v>
      </c>
      <c r="S15" s="15">
        <v>0</v>
      </c>
      <c r="T15" s="23" t="s">
        <v>34</v>
      </c>
      <c r="U15" s="23" t="s">
        <v>35</v>
      </c>
      <c r="V15" s="24"/>
      <c r="W15" s="24"/>
    </row>
    <row r="16" spans="1:23">
      <c r="A16" s="19">
        <v>12</v>
      </c>
      <c r="B16" s="8" t="s">
        <v>27</v>
      </c>
      <c r="C16" s="20" t="s">
        <v>28</v>
      </c>
      <c r="D16" s="21" t="s">
        <v>29</v>
      </c>
      <c r="E16" s="19">
        <v>100</v>
      </c>
      <c r="F16" s="21" t="s">
        <v>30</v>
      </c>
      <c r="G16" s="19">
        <v>13</v>
      </c>
      <c r="H16" s="21" t="s">
        <v>53</v>
      </c>
      <c r="I16" s="22">
        <v>46278</v>
      </c>
      <c r="J16" s="5" t="s">
        <v>49</v>
      </c>
      <c r="K16" s="21" t="s">
        <v>40</v>
      </c>
      <c r="L16" s="14">
        <v>2561</v>
      </c>
      <c r="M16" s="19">
        <v>13</v>
      </c>
      <c r="N16" s="21" t="s">
        <v>53</v>
      </c>
      <c r="O16" s="22">
        <v>46278</v>
      </c>
      <c r="P16" s="5" t="s">
        <v>49</v>
      </c>
      <c r="Q16" s="21" t="s">
        <v>40</v>
      </c>
      <c r="R16" s="14">
        <v>2561</v>
      </c>
      <c r="S16" s="15">
        <v>0</v>
      </c>
      <c r="T16" s="23" t="s">
        <v>34</v>
      </c>
      <c r="U16" s="23" t="s">
        <v>35</v>
      </c>
      <c r="V16" s="24"/>
      <c r="W16" s="24"/>
    </row>
    <row r="17" spans="1:23">
      <c r="A17" s="19">
        <v>13</v>
      </c>
      <c r="B17" s="8" t="s">
        <v>27</v>
      </c>
      <c r="C17" s="20" t="s">
        <v>28</v>
      </c>
      <c r="D17" s="21" t="s">
        <v>29</v>
      </c>
      <c r="E17" s="19">
        <v>100</v>
      </c>
      <c r="F17" s="21" t="s">
        <v>30</v>
      </c>
      <c r="G17" s="19">
        <v>14</v>
      </c>
      <c r="H17" s="21" t="s">
        <v>54</v>
      </c>
      <c r="I17" s="22">
        <v>46287</v>
      </c>
      <c r="J17" s="5" t="s">
        <v>37</v>
      </c>
      <c r="K17" s="21" t="s">
        <v>33</v>
      </c>
      <c r="L17" s="14">
        <v>25099</v>
      </c>
      <c r="M17" s="19">
        <v>14</v>
      </c>
      <c r="N17" s="21" t="s">
        <v>54</v>
      </c>
      <c r="O17" s="22">
        <v>46287</v>
      </c>
      <c r="P17" s="5" t="s">
        <v>37</v>
      </c>
      <c r="Q17" s="21" t="s">
        <v>33</v>
      </c>
      <c r="R17" s="14">
        <v>25099</v>
      </c>
      <c r="S17" s="15">
        <v>0</v>
      </c>
      <c r="T17" s="23" t="s">
        <v>34</v>
      </c>
      <c r="U17" s="23" t="s">
        <v>35</v>
      </c>
      <c r="V17" s="24"/>
      <c r="W17" s="24"/>
    </row>
    <row r="18" spans="1:23">
      <c r="A18" s="19">
        <v>14</v>
      </c>
      <c r="B18" s="8" t="s">
        <v>27</v>
      </c>
      <c r="C18" s="20" t="s">
        <v>28</v>
      </c>
      <c r="D18" s="21" t="s">
        <v>29</v>
      </c>
      <c r="E18" s="19">
        <v>100</v>
      </c>
      <c r="F18" s="21" t="s">
        <v>30</v>
      </c>
      <c r="G18" s="19">
        <v>15</v>
      </c>
      <c r="H18" s="21" t="s">
        <v>55</v>
      </c>
      <c r="I18" s="22">
        <v>46270</v>
      </c>
      <c r="J18" s="5" t="s">
        <v>47</v>
      </c>
      <c r="K18" s="21" t="s">
        <v>40</v>
      </c>
      <c r="L18" s="14">
        <v>501</v>
      </c>
      <c r="M18" s="19">
        <v>15</v>
      </c>
      <c r="N18" s="21" t="s">
        <v>55</v>
      </c>
      <c r="O18" s="22">
        <v>46270</v>
      </c>
      <c r="P18" s="5" t="s">
        <v>47</v>
      </c>
      <c r="Q18" s="21" t="s">
        <v>40</v>
      </c>
      <c r="R18" s="14">
        <v>501</v>
      </c>
      <c r="S18" s="15">
        <v>0</v>
      </c>
      <c r="T18" s="23" t="s">
        <v>34</v>
      </c>
      <c r="U18" s="23" t="s">
        <v>35</v>
      </c>
      <c r="V18" s="24"/>
      <c r="W18" s="24"/>
    </row>
    <row r="19" spans="1:23">
      <c r="A19" s="19">
        <v>15</v>
      </c>
      <c r="B19" s="8" t="s">
        <v>27</v>
      </c>
      <c r="C19" s="20" t="s">
        <v>28</v>
      </c>
      <c r="D19" s="21" t="s">
        <v>29</v>
      </c>
      <c r="E19" s="19">
        <v>100</v>
      </c>
      <c r="F19" s="21" t="s">
        <v>30</v>
      </c>
      <c r="G19" s="19">
        <v>16</v>
      </c>
      <c r="H19" s="21" t="s">
        <v>56</v>
      </c>
      <c r="I19" s="22">
        <v>46277</v>
      </c>
      <c r="J19" s="5" t="s">
        <v>37</v>
      </c>
      <c r="K19" s="21" t="s">
        <v>40</v>
      </c>
      <c r="L19" s="14">
        <v>1545</v>
      </c>
      <c r="M19" s="19">
        <v>16</v>
      </c>
      <c r="N19" s="21" t="s">
        <v>56</v>
      </c>
      <c r="O19" s="22">
        <v>46277</v>
      </c>
      <c r="P19" s="5" t="s">
        <v>37</v>
      </c>
      <c r="Q19" s="21" t="s">
        <v>40</v>
      </c>
      <c r="R19" s="14">
        <v>1545</v>
      </c>
      <c r="S19" s="15">
        <v>0</v>
      </c>
      <c r="T19" s="23" t="s">
        <v>34</v>
      </c>
      <c r="U19" s="23" t="s">
        <v>35</v>
      </c>
      <c r="V19" s="24"/>
      <c r="W19" s="24"/>
    </row>
    <row r="20" spans="1:23">
      <c r="A20" s="19">
        <v>16</v>
      </c>
      <c r="B20" s="8" t="s">
        <v>27</v>
      </c>
      <c r="C20" s="20" t="s">
        <v>28</v>
      </c>
      <c r="D20" s="21" t="s">
        <v>29</v>
      </c>
      <c r="E20" s="19">
        <v>100</v>
      </c>
      <c r="F20" s="21" t="s">
        <v>30</v>
      </c>
      <c r="G20" s="19">
        <v>17</v>
      </c>
      <c r="H20" s="21" t="s">
        <v>57</v>
      </c>
      <c r="I20" s="22">
        <v>46270</v>
      </c>
      <c r="J20" s="5" t="s">
        <v>37</v>
      </c>
      <c r="K20" s="21" t="s">
        <v>40</v>
      </c>
      <c r="L20" s="14">
        <v>25079</v>
      </c>
      <c r="M20" s="19">
        <v>17</v>
      </c>
      <c r="N20" s="21" t="s">
        <v>57</v>
      </c>
      <c r="O20" s="22">
        <v>46270</v>
      </c>
      <c r="P20" s="5" t="s">
        <v>37</v>
      </c>
      <c r="Q20" s="21" t="s">
        <v>40</v>
      </c>
      <c r="R20" s="14">
        <v>25079</v>
      </c>
      <c r="S20" s="15">
        <v>0</v>
      </c>
      <c r="T20" s="23" t="s">
        <v>34</v>
      </c>
      <c r="U20" s="23" t="s">
        <v>35</v>
      </c>
      <c r="V20" s="24"/>
      <c r="W20" s="24"/>
    </row>
    <row r="21" spans="1:23">
      <c r="A21" s="19">
        <v>17</v>
      </c>
      <c r="B21" s="8" t="s">
        <v>27</v>
      </c>
      <c r="C21" s="20" t="s">
        <v>28</v>
      </c>
      <c r="D21" s="21" t="s">
        <v>29</v>
      </c>
      <c r="E21" s="19">
        <v>100</v>
      </c>
      <c r="F21" s="21" t="s">
        <v>30</v>
      </c>
      <c r="G21" s="19">
        <v>18</v>
      </c>
      <c r="H21" s="21" t="s">
        <v>58</v>
      </c>
      <c r="I21" s="22">
        <v>46286</v>
      </c>
      <c r="J21" s="5" t="s">
        <v>59</v>
      </c>
      <c r="K21" s="21" t="s">
        <v>40</v>
      </c>
      <c r="L21" s="14">
        <v>4044</v>
      </c>
      <c r="M21" s="19">
        <v>18</v>
      </c>
      <c r="N21" s="21" t="s">
        <v>58</v>
      </c>
      <c r="O21" s="22">
        <v>46286</v>
      </c>
      <c r="P21" s="5" t="s">
        <v>59</v>
      </c>
      <c r="Q21" s="21" t="s">
        <v>40</v>
      </c>
      <c r="R21" s="14">
        <v>4044</v>
      </c>
      <c r="S21" s="15">
        <v>0</v>
      </c>
      <c r="T21" s="23" t="s">
        <v>34</v>
      </c>
      <c r="U21" s="23" t="s">
        <v>35</v>
      </c>
      <c r="V21" s="24"/>
      <c r="W21" s="24"/>
    </row>
    <row r="22" spans="1:23">
      <c r="A22" s="19">
        <v>18</v>
      </c>
      <c r="B22" s="8" t="s">
        <v>27</v>
      </c>
      <c r="C22" s="20" t="s">
        <v>28</v>
      </c>
      <c r="D22" s="21" t="s">
        <v>29</v>
      </c>
      <c r="E22" s="19">
        <v>100</v>
      </c>
      <c r="F22" s="21" t="s">
        <v>30</v>
      </c>
      <c r="G22" s="19">
        <v>19</v>
      </c>
      <c r="H22" s="21" t="s">
        <v>60</v>
      </c>
      <c r="I22" s="22">
        <v>46283</v>
      </c>
      <c r="J22" s="5" t="s">
        <v>47</v>
      </c>
      <c r="K22" s="21" t="s">
        <v>33</v>
      </c>
      <c r="L22" s="14">
        <v>12016</v>
      </c>
      <c r="M22" s="19">
        <v>19</v>
      </c>
      <c r="N22" s="21" t="s">
        <v>60</v>
      </c>
      <c r="O22" s="22">
        <v>46283</v>
      </c>
      <c r="P22" s="5" t="s">
        <v>47</v>
      </c>
      <c r="Q22" s="21" t="s">
        <v>33</v>
      </c>
      <c r="R22" s="14">
        <v>12016</v>
      </c>
      <c r="S22" s="15">
        <v>0</v>
      </c>
      <c r="T22" s="23" t="s">
        <v>34</v>
      </c>
      <c r="U22" s="23" t="s">
        <v>35</v>
      </c>
      <c r="V22" s="24"/>
      <c r="W22" s="24"/>
    </row>
    <row r="23" spans="1:23">
      <c r="A23" s="19">
        <v>19</v>
      </c>
      <c r="B23" s="8" t="s">
        <v>27</v>
      </c>
      <c r="C23" s="20" t="s">
        <v>28</v>
      </c>
      <c r="D23" s="21" t="s">
        <v>29</v>
      </c>
      <c r="E23" s="19">
        <v>100</v>
      </c>
      <c r="F23" s="21" t="s">
        <v>30</v>
      </c>
      <c r="G23" s="19">
        <v>20</v>
      </c>
      <c r="H23" s="21" t="s">
        <v>61</v>
      </c>
      <c r="I23" s="22">
        <v>46267</v>
      </c>
      <c r="J23" s="5" t="s">
        <v>62</v>
      </c>
      <c r="K23" s="21" t="s">
        <v>33</v>
      </c>
      <c r="L23" s="14">
        <v>1097</v>
      </c>
      <c r="M23" s="19">
        <v>20</v>
      </c>
      <c r="N23" s="21" t="s">
        <v>61</v>
      </c>
      <c r="O23" s="22">
        <v>46267</v>
      </c>
      <c r="P23" s="5" t="s">
        <v>62</v>
      </c>
      <c r="Q23" s="21" t="s">
        <v>33</v>
      </c>
      <c r="R23" s="14">
        <v>1097</v>
      </c>
      <c r="S23" s="15">
        <v>0</v>
      </c>
      <c r="T23" s="23" t="s">
        <v>34</v>
      </c>
      <c r="U23" s="23" t="s">
        <v>35</v>
      </c>
      <c r="V23" s="24"/>
      <c r="W23" s="24"/>
    </row>
    <row r="24" spans="1:23">
      <c r="A24" s="19">
        <v>20</v>
      </c>
      <c r="B24" s="8" t="s">
        <v>27</v>
      </c>
      <c r="C24" s="20" t="s">
        <v>28</v>
      </c>
      <c r="D24" s="21" t="s">
        <v>29</v>
      </c>
      <c r="E24" s="19">
        <v>100</v>
      </c>
      <c r="F24" s="21" t="s">
        <v>30</v>
      </c>
      <c r="G24" s="19">
        <v>21</v>
      </c>
      <c r="H24" s="21" t="s">
        <v>63</v>
      </c>
      <c r="I24" s="22">
        <v>46290</v>
      </c>
      <c r="J24" s="5" t="s">
        <v>49</v>
      </c>
      <c r="K24" s="21" t="s">
        <v>40</v>
      </c>
      <c r="L24" s="14">
        <v>4016</v>
      </c>
      <c r="M24" s="19">
        <v>21</v>
      </c>
      <c r="N24" s="21" t="s">
        <v>63</v>
      </c>
      <c r="O24" s="22">
        <v>46290</v>
      </c>
      <c r="P24" s="5" t="s">
        <v>49</v>
      </c>
      <c r="Q24" s="21" t="s">
        <v>40</v>
      </c>
      <c r="R24" s="14">
        <v>4016</v>
      </c>
      <c r="S24" s="15">
        <v>0</v>
      </c>
      <c r="T24" s="23" t="s">
        <v>34</v>
      </c>
      <c r="U24" s="23" t="s">
        <v>35</v>
      </c>
      <c r="V24" s="24"/>
      <c r="W24" s="24"/>
    </row>
    <row r="25" spans="1:23">
      <c r="A25" s="19">
        <v>21</v>
      </c>
      <c r="B25" s="8" t="s">
        <v>27</v>
      </c>
      <c r="C25" s="20" t="s">
        <v>28</v>
      </c>
      <c r="D25" s="21" t="s">
        <v>29</v>
      </c>
      <c r="E25" s="19">
        <v>100</v>
      </c>
      <c r="F25" s="21" t="s">
        <v>30</v>
      </c>
      <c r="G25" s="19">
        <v>22</v>
      </c>
      <c r="H25" s="21" t="s">
        <v>64</v>
      </c>
      <c r="I25" s="22">
        <v>46289</v>
      </c>
      <c r="J25" s="5" t="s">
        <v>65</v>
      </c>
      <c r="K25" s="21" t="s">
        <v>66</v>
      </c>
      <c r="L25" s="14">
        <v>1555</v>
      </c>
      <c r="M25" s="19">
        <v>22</v>
      </c>
      <c r="N25" s="21" t="s">
        <v>64</v>
      </c>
      <c r="O25" s="22">
        <v>46289</v>
      </c>
      <c r="P25" s="5" t="s">
        <v>65</v>
      </c>
      <c r="Q25" s="21" t="s">
        <v>66</v>
      </c>
      <c r="R25" s="14">
        <v>1555</v>
      </c>
      <c r="S25" s="15">
        <v>0</v>
      </c>
      <c r="T25" s="23" t="s">
        <v>34</v>
      </c>
      <c r="U25" s="23" t="s">
        <v>35</v>
      </c>
      <c r="V25" s="24"/>
      <c r="W25" s="24"/>
    </row>
    <row r="26" spans="1:23">
      <c r="A26" s="19">
        <v>22</v>
      </c>
      <c r="B26" s="8" t="s">
        <v>27</v>
      </c>
      <c r="C26" s="20" t="s">
        <v>28</v>
      </c>
      <c r="D26" s="21" t="s">
        <v>29</v>
      </c>
      <c r="E26" s="19">
        <v>100</v>
      </c>
      <c r="F26" s="21" t="s">
        <v>30</v>
      </c>
      <c r="G26" s="19">
        <v>23</v>
      </c>
      <c r="H26" s="21" t="s">
        <v>67</v>
      </c>
      <c r="I26" s="22">
        <v>46272</v>
      </c>
      <c r="J26" s="5" t="s">
        <v>59</v>
      </c>
      <c r="K26" s="21" t="s">
        <v>33</v>
      </c>
      <c r="L26" s="14">
        <v>4057</v>
      </c>
      <c r="M26" s="19">
        <v>23</v>
      </c>
      <c r="N26" s="21" t="s">
        <v>67</v>
      </c>
      <c r="O26" s="22">
        <v>46272</v>
      </c>
      <c r="P26" s="5" t="s">
        <v>59</v>
      </c>
      <c r="Q26" s="21" t="s">
        <v>33</v>
      </c>
      <c r="R26" s="14">
        <v>4057</v>
      </c>
      <c r="S26" s="15">
        <v>0</v>
      </c>
      <c r="T26" s="23" t="s">
        <v>34</v>
      </c>
      <c r="U26" s="23" t="s">
        <v>35</v>
      </c>
      <c r="V26" s="24"/>
      <c r="W26" s="24"/>
    </row>
    <row r="27" spans="1:23">
      <c r="A27" s="19">
        <v>23</v>
      </c>
      <c r="B27" s="8" t="s">
        <v>27</v>
      </c>
      <c r="C27" s="20" t="s">
        <v>28</v>
      </c>
      <c r="D27" s="21" t="s">
        <v>29</v>
      </c>
      <c r="E27" s="19">
        <v>100</v>
      </c>
      <c r="F27" s="21" t="s">
        <v>30</v>
      </c>
      <c r="G27" s="19">
        <v>24</v>
      </c>
      <c r="H27" s="21" t="s">
        <v>68</v>
      </c>
      <c r="I27" s="22">
        <v>46282</v>
      </c>
      <c r="J27" s="5" t="s">
        <v>65</v>
      </c>
      <c r="K27" s="21" t="s">
        <v>33</v>
      </c>
      <c r="L27" s="14">
        <v>7581</v>
      </c>
      <c r="M27" s="19">
        <v>24</v>
      </c>
      <c r="N27" s="21" t="s">
        <v>68</v>
      </c>
      <c r="O27" s="22">
        <v>46282</v>
      </c>
      <c r="P27" s="5" t="s">
        <v>65</v>
      </c>
      <c r="Q27" s="21" t="s">
        <v>33</v>
      </c>
      <c r="R27" s="14">
        <v>7581</v>
      </c>
      <c r="S27" s="15">
        <v>0</v>
      </c>
      <c r="T27" s="23" t="s">
        <v>34</v>
      </c>
      <c r="U27" s="23" t="s">
        <v>35</v>
      </c>
      <c r="V27" s="24"/>
      <c r="W27" s="24"/>
    </row>
    <row r="28" spans="1:23">
      <c r="A28" s="19">
        <v>24</v>
      </c>
      <c r="B28" s="8" t="s">
        <v>27</v>
      </c>
      <c r="C28" s="20" t="s">
        <v>28</v>
      </c>
      <c r="D28" s="21" t="s">
        <v>29</v>
      </c>
      <c r="E28" s="19">
        <v>100</v>
      </c>
      <c r="F28" s="21" t="s">
        <v>30</v>
      </c>
      <c r="G28" s="19">
        <v>25</v>
      </c>
      <c r="H28" s="21" t="s">
        <v>69</v>
      </c>
      <c r="I28" s="22">
        <v>46266</v>
      </c>
      <c r="J28" s="5" t="s">
        <v>37</v>
      </c>
      <c r="K28" s="21" t="s">
        <v>33</v>
      </c>
      <c r="L28" s="14">
        <v>1056</v>
      </c>
      <c r="M28" s="19">
        <v>25</v>
      </c>
      <c r="N28" s="21" t="s">
        <v>69</v>
      </c>
      <c r="O28" s="22">
        <v>46266</v>
      </c>
      <c r="P28" s="5" t="s">
        <v>37</v>
      </c>
      <c r="Q28" s="21" t="s">
        <v>33</v>
      </c>
      <c r="R28" s="14">
        <v>1056</v>
      </c>
      <c r="S28" s="15">
        <v>0</v>
      </c>
      <c r="T28" s="23" t="s">
        <v>34</v>
      </c>
      <c r="U28" s="23" t="s">
        <v>35</v>
      </c>
      <c r="V28" s="24"/>
      <c r="W28" s="24"/>
    </row>
    <row r="29" spans="1:23">
      <c r="A29" s="19">
        <v>25</v>
      </c>
      <c r="B29" s="8" t="s">
        <v>27</v>
      </c>
      <c r="C29" s="20" t="s">
        <v>28</v>
      </c>
      <c r="D29" s="21" t="s">
        <v>29</v>
      </c>
      <c r="E29" s="19">
        <v>100</v>
      </c>
      <c r="F29" s="21" t="s">
        <v>30</v>
      </c>
      <c r="G29" s="19">
        <v>26</v>
      </c>
      <c r="H29" s="21" t="s">
        <v>70</v>
      </c>
      <c r="I29" s="22">
        <v>46274</v>
      </c>
      <c r="J29" s="5" t="s">
        <v>71</v>
      </c>
      <c r="K29" s="21" t="s">
        <v>40</v>
      </c>
      <c r="L29" s="14">
        <v>25089</v>
      </c>
      <c r="M29" s="19">
        <v>26</v>
      </c>
      <c r="N29" s="21" t="s">
        <v>70</v>
      </c>
      <c r="O29" s="22">
        <v>46274</v>
      </c>
      <c r="P29" s="5" t="s">
        <v>71</v>
      </c>
      <c r="Q29" s="21" t="s">
        <v>40</v>
      </c>
      <c r="R29" s="14">
        <v>25089</v>
      </c>
      <c r="S29" s="15">
        <v>0</v>
      </c>
      <c r="T29" s="23" t="s">
        <v>34</v>
      </c>
      <c r="U29" s="23" t="s">
        <v>35</v>
      </c>
      <c r="V29" s="24"/>
      <c r="W29" s="24"/>
    </row>
    <row r="30" spans="1:23">
      <c r="A30" s="19">
        <v>26</v>
      </c>
      <c r="B30" s="8" t="s">
        <v>27</v>
      </c>
      <c r="C30" s="20" t="s">
        <v>28</v>
      </c>
      <c r="D30" s="21" t="s">
        <v>29</v>
      </c>
      <c r="E30" s="19">
        <v>100</v>
      </c>
      <c r="F30" s="21" t="s">
        <v>30</v>
      </c>
      <c r="G30" s="19">
        <v>27</v>
      </c>
      <c r="H30" s="21" t="s">
        <v>72</v>
      </c>
      <c r="I30" s="22">
        <v>46275</v>
      </c>
      <c r="J30" s="5" t="s">
        <v>73</v>
      </c>
      <c r="K30" s="21" t="s">
        <v>40</v>
      </c>
      <c r="L30" s="14">
        <v>25043</v>
      </c>
      <c r="M30" s="19">
        <v>27</v>
      </c>
      <c r="N30" s="21" t="s">
        <v>72</v>
      </c>
      <c r="O30" s="22">
        <v>46275</v>
      </c>
      <c r="P30" s="5" t="s">
        <v>73</v>
      </c>
      <c r="Q30" s="21" t="s">
        <v>40</v>
      </c>
      <c r="R30" s="14">
        <v>25043</v>
      </c>
      <c r="S30" s="15">
        <v>0</v>
      </c>
      <c r="T30" s="23" t="s">
        <v>34</v>
      </c>
      <c r="U30" s="23" t="s">
        <v>35</v>
      </c>
      <c r="V30" s="24"/>
      <c r="W30" s="24"/>
    </row>
    <row r="31" spans="1:23">
      <c r="A31" s="19">
        <v>27</v>
      </c>
      <c r="B31" s="8" t="s">
        <v>27</v>
      </c>
      <c r="C31" s="20" t="s">
        <v>28</v>
      </c>
      <c r="D31" s="21" t="s">
        <v>29</v>
      </c>
      <c r="E31" s="19">
        <v>100</v>
      </c>
      <c r="F31" s="21" t="s">
        <v>30</v>
      </c>
      <c r="G31" s="19">
        <v>28</v>
      </c>
      <c r="H31" s="21" t="s">
        <v>54</v>
      </c>
      <c r="I31" s="22">
        <v>46287</v>
      </c>
      <c r="J31" s="5" t="s">
        <v>37</v>
      </c>
      <c r="K31" s="21" t="s">
        <v>33</v>
      </c>
      <c r="L31" s="14">
        <v>25099</v>
      </c>
      <c r="M31" s="19">
        <v>28</v>
      </c>
      <c r="N31" s="21" t="s">
        <v>54</v>
      </c>
      <c r="O31" s="22">
        <v>46287</v>
      </c>
      <c r="P31" s="5" t="s">
        <v>37</v>
      </c>
      <c r="Q31" s="21" t="s">
        <v>33</v>
      </c>
      <c r="R31" s="14">
        <v>25099</v>
      </c>
      <c r="S31" s="15">
        <v>0</v>
      </c>
      <c r="T31" s="23" t="s">
        <v>34</v>
      </c>
      <c r="U31" s="23" t="s">
        <v>35</v>
      </c>
      <c r="V31" s="24"/>
      <c r="W31" s="24"/>
    </row>
    <row r="32" spans="1:23">
      <c r="A32" s="19">
        <v>28</v>
      </c>
      <c r="B32" s="8" t="s">
        <v>27</v>
      </c>
      <c r="C32" s="20" t="s">
        <v>28</v>
      </c>
      <c r="D32" s="21" t="s">
        <v>29</v>
      </c>
      <c r="E32" s="19">
        <v>100</v>
      </c>
      <c r="F32" s="21" t="s">
        <v>30</v>
      </c>
      <c r="G32" s="19">
        <v>29</v>
      </c>
      <c r="H32" s="21" t="s">
        <v>74</v>
      </c>
      <c r="I32" s="22">
        <v>46284</v>
      </c>
      <c r="J32" s="5" t="s">
        <v>32</v>
      </c>
      <c r="K32" s="21" t="s">
        <v>33</v>
      </c>
      <c r="L32" s="14">
        <v>25036</v>
      </c>
      <c r="M32" s="19">
        <v>29</v>
      </c>
      <c r="N32" s="21" t="s">
        <v>74</v>
      </c>
      <c r="O32" s="22">
        <v>46284</v>
      </c>
      <c r="P32" s="5" t="s">
        <v>32</v>
      </c>
      <c r="Q32" s="21" t="s">
        <v>33</v>
      </c>
      <c r="R32" s="14">
        <v>25036</v>
      </c>
      <c r="S32" s="15">
        <v>0</v>
      </c>
      <c r="T32" s="23" t="s">
        <v>34</v>
      </c>
      <c r="U32" s="23" t="s">
        <v>35</v>
      </c>
      <c r="V32" s="24"/>
      <c r="W32" s="24"/>
    </row>
    <row r="33" spans="1:23">
      <c r="A33" s="19">
        <v>29</v>
      </c>
      <c r="B33" s="8" t="s">
        <v>27</v>
      </c>
      <c r="C33" s="20" t="s">
        <v>28</v>
      </c>
      <c r="D33" s="21" t="s">
        <v>29</v>
      </c>
      <c r="E33" s="19">
        <v>100</v>
      </c>
      <c r="F33" s="21" t="s">
        <v>30</v>
      </c>
      <c r="G33" s="19">
        <v>30</v>
      </c>
      <c r="H33" s="21" t="s">
        <v>75</v>
      </c>
      <c r="I33" s="22">
        <v>46293</v>
      </c>
      <c r="J33" s="5" t="s">
        <v>73</v>
      </c>
      <c r="K33" s="21" t="s">
        <v>33</v>
      </c>
      <c r="L33" s="14">
        <v>25059</v>
      </c>
      <c r="M33" s="19">
        <v>30</v>
      </c>
      <c r="N33" s="21" t="s">
        <v>75</v>
      </c>
      <c r="O33" s="22">
        <v>46293</v>
      </c>
      <c r="P33" s="5" t="s">
        <v>73</v>
      </c>
      <c r="Q33" s="21" t="s">
        <v>33</v>
      </c>
      <c r="R33" s="14">
        <v>25059</v>
      </c>
      <c r="S33" s="15">
        <v>0</v>
      </c>
      <c r="T33" s="23" t="s">
        <v>34</v>
      </c>
      <c r="U33" s="23" t="s">
        <v>35</v>
      </c>
      <c r="V33" s="24"/>
      <c r="W33" s="24"/>
    </row>
    <row r="34" spans="1:23">
      <c r="A34" s="19">
        <v>30</v>
      </c>
      <c r="B34" s="8" t="s">
        <v>27</v>
      </c>
      <c r="C34" s="20" t="s">
        <v>28</v>
      </c>
      <c r="D34" s="21" t="s">
        <v>29</v>
      </c>
      <c r="E34" s="19">
        <v>100</v>
      </c>
      <c r="F34" s="21" t="s">
        <v>30</v>
      </c>
      <c r="G34" s="19">
        <v>31</v>
      </c>
      <c r="H34" s="21" t="s">
        <v>76</v>
      </c>
      <c r="I34" s="22">
        <v>46292</v>
      </c>
      <c r="J34" s="5" t="s">
        <v>39</v>
      </c>
      <c r="K34" s="21" t="s">
        <v>66</v>
      </c>
      <c r="L34" s="14">
        <v>25084</v>
      </c>
      <c r="M34" s="19">
        <v>31</v>
      </c>
      <c r="N34" s="21" t="s">
        <v>76</v>
      </c>
      <c r="O34" s="22">
        <v>46292</v>
      </c>
      <c r="P34" s="5" t="s">
        <v>39</v>
      </c>
      <c r="Q34" s="21" t="s">
        <v>66</v>
      </c>
      <c r="R34" s="14">
        <v>25084</v>
      </c>
      <c r="S34" s="15">
        <v>0</v>
      </c>
      <c r="T34" s="23" t="s">
        <v>34</v>
      </c>
      <c r="U34" s="23" t="s">
        <v>35</v>
      </c>
      <c r="V34" s="24"/>
      <c r="W34" s="24"/>
    </row>
    <row r="35" spans="1:23">
      <c r="A35" s="19">
        <v>31</v>
      </c>
      <c r="B35" s="8" t="s">
        <v>27</v>
      </c>
      <c r="C35" s="20" t="s">
        <v>28</v>
      </c>
      <c r="D35" s="21" t="s">
        <v>29</v>
      </c>
      <c r="E35" s="19">
        <v>100</v>
      </c>
      <c r="F35" s="21" t="s">
        <v>30</v>
      </c>
      <c r="G35" s="19">
        <v>32</v>
      </c>
      <c r="H35" s="21" t="s">
        <v>77</v>
      </c>
      <c r="I35" s="22">
        <v>46288</v>
      </c>
      <c r="J35" s="5" t="s">
        <v>39</v>
      </c>
      <c r="K35" s="21" t="s">
        <v>33</v>
      </c>
      <c r="L35" s="14">
        <v>7518</v>
      </c>
      <c r="M35" s="19">
        <v>32</v>
      </c>
      <c r="N35" s="21" t="s">
        <v>77</v>
      </c>
      <c r="O35" s="22">
        <v>46288</v>
      </c>
      <c r="P35" s="5" t="s">
        <v>39</v>
      </c>
      <c r="Q35" s="21" t="s">
        <v>33</v>
      </c>
      <c r="R35" s="14">
        <v>7518</v>
      </c>
      <c r="S35" s="15">
        <v>0</v>
      </c>
      <c r="T35" s="23" t="s">
        <v>34</v>
      </c>
      <c r="U35" s="23" t="s">
        <v>35</v>
      </c>
      <c r="V35" s="24"/>
      <c r="W35" s="24"/>
    </row>
    <row r="36" spans="1:23">
      <c r="A36" s="19">
        <v>32</v>
      </c>
      <c r="B36" s="8" t="s">
        <v>27</v>
      </c>
      <c r="C36" s="20" t="s">
        <v>28</v>
      </c>
      <c r="D36" s="21" t="s">
        <v>29</v>
      </c>
      <c r="E36" s="19">
        <v>100</v>
      </c>
      <c r="F36" s="21" t="s">
        <v>30</v>
      </c>
      <c r="G36" s="19">
        <v>33</v>
      </c>
      <c r="H36" s="21" t="s">
        <v>78</v>
      </c>
      <c r="I36" s="22">
        <v>46280</v>
      </c>
      <c r="J36" s="5" t="s">
        <v>45</v>
      </c>
      <c r="K36" s="21" t="s">
        <v>33</v>
      </c>
      <c r="L36" s="14">
        <v>7546</v>
      </c>
      <c r="M36" s="19">
        <v>33</v>
      </c>
      <c r="N36" s="21" t="s">
        <v>78</v>
      </c>
      <c r="O36" s="22">
        <v>46280</v>
      </c>
      <c r="P36" s="5" t="s">
        <v>45</v>
      </c>
      <c r="Q36" s="21" t="s">
        <v>33</v>
      </c>
      <c r="R36" s="14">
        <v>7546</v>
      </c>
      <c r="S36" s="15">
        <v>0</v>
      </c>
      <c r="T36" s="23" t="s">
        <v>34</v>
      </c>
      <c r="U36" s="23" t="s">
        <v>35</v>
      </c>
      <c r="V36" s="24"/>
      <c r="W36" s="24"/>
    </row>
    <row r="37" spans="1:23">
      <c r="A37" s="19">
        <v>33</v>
      </c>
      <c r="B37" s="8" t="s">
        <v>27</v>
      </c>
      <c r="C37" s="20" t="s">
        <v>28</v>
      </c>
      <c r="D37" s="21" t="s">
        <v>29</v>
      </c>
      <c r="E37" s="19">
        <v>100</v>
      </c>
      <c r="F37" s="21" t="s">
        <v>30</v>
      </c>
      <c r="G37" s="19">
        <v>34</v>
      </c>
      <c r="H37" s="21" t="s">
        <v>79</v>
      </c>
      <c r="I37" s="22">
        <v>46277</v>
      </c>
      <c r="J37" s="5" t="s">
        <v>45</v>
      </c>
      <c r="K37" s="21" t="s">
        <v>40</v>
      </c>
      <c r="L37" s="14">
        <v>25064</v>
      </c>
      <c r="M37" s="19">
        <v>34</v>
      </c>
      <c r="N37" s="21" t="s">
        <v>79</v>
      </c>
      <c r="O37" s="22">
        <v>46277</v>
      </c>
      <c r="P37" s="5" t="s">
        <v>45</v>
      </c>
      <c r="Q37" s="21" t="s">
        <v>40</v>
      </c>
      <c r="R37" s="14">
        <v>25064</v>
      </c>
      <c r="S37" s="15">
        <v>0</v>
      </c>
      <c r="T37" s="23" t="s">
        <v>34</v>
      </c>
      <c r="U37" s="23" t="s">
        <v>35</v>
      </c>
      <c r="V37" s="24"/>
      <c r="W37" s="24"/>
    </row>
    <row r="38" spans="1:23">
      <c r="A38" s="19">
        <v>34</v>
      </c>
      <c r="B38" s="8" t="s">
        <v>27</v>
      </c>
      <c r="C38" s="20" t="s">
        <v>28</v>
      </c>
      <c r="D38" s="21" t="s">
        <v>29</v>
      </c>
      <c r="E38" s="19">
        <v>100</v>
      </c>
      <c r="F38" s="21" t="s">
        <v>30</v>
      </c>
      <c r="G38" s="19">
        <v>35</v>
      </c>
      <c r="H38" s="21" t="s">
        <v>80</v>
      </c>
      <c r="I38" s="22">
        <v>46268</v>
      </c>
      <c r="J38" s="5" t="s">
        <v>71</v>
      </c>
      <c r="K38" s="21" t="s">
        <v>33</v>
      </c>
      <c r="L38" s="14">
        <v>2511</v>
      </c>
      <c r="M38" s="19">
        <v>35</v>
      </c>
      <c r="N38" s="21" t="s">
        <v>80</v>
      </c>
      <c r="O38" s="22">
        <v>46268</v>
      </c>
      <c r="P38" s="5" t="s">
        <v>71</v>
      </c>
      <c r="Q38" s="21" t="s">
        <v>33</v>
      </c>
      <c r="R38" s="14">
        <v>2511</v>
      </c>
      <c r="S38" s="15">
        <v>0</v>
      </c>
      <c r="T38" s="23" t="s">
        <v>34</v>
      </c>
      <c r="U38" s="23" t="s">
        <v>35</v>
      </c>
      <c r="V38" s="24"/>
      <c r="W38" s="24"/>
    </row>
    <row r="39" spans="1:23">
      <c r="A39" s="19">
        <v>35</v>
      </c>
      <c r="B39" s="8" t="s">
        <v>27</v>
      </c>
      <c r="C39" s="20" t="s">
        <v>28</v>
      </c>
      <c r="D39" s="21" t="s">
        <v>29</v>
      </c>
      <c r="E39" s="19">
        <v>100</v>
      </c>
      <c r="F39" s="21" t="s">
        <v>30</v>
      </c>
      <c r="G39" s="19">
        <v>36</v>
      </c>
      <c r="H39" s="21" t="s">
        <v>81</v>
      </c>
      <c r="I39" s="22">
        <v>46278</v>
      </c>
      <c r="J39" s="5" t="s">
        <v>39</v>
      </c>
      <c r="K39" s="21" t="s">
        <v>33</v>
      </c>
      <c r="L39" s="14">
        <v>2519</v>
      </c>
      <c r="M39" s="19">
        <v>36</v>
      </c>
      <c r="N39" s="21" t="s">
        <v>81</v>
      </c>
      <c r="O39" s="22">
        <v>46278</v>
      </c>
      <c r="P39" s="5" t="s">
        <v>39</v>
      </c>
      <c r="Q39" s="21" t="s">
        <v>33</v>
      </c>
      <c r="R39" s="14">
        <v>2519</v>
      </c>
      <c r="S39" s="15">
        <v>0</v>
      </c>
      <c r="T39" s="23" t="s">
        <v>34</v>
      </c>
      <c r="U39" s="23" t="s">
        <v>35</v>
      </c>
      <c r="V39" s="24"/>
      <c r="W39" s="24"/>
    </row>
    <row r="40" spans="1:23">
      <c r="A40" s="19">
        <v>36</v>
      </c>
      <c r="B40" s="8" t="s">
        <v>27</v>
      </c>
      <c r="C40" s="20" t="s">
        <v>28</v>
      </c>
      <c r="D40" s="21" t="s">
        <v>29</v>
      </c>
      <c r="E40" s="19">
        <v>100</v>
      </c>
      <c r="F40" s="21" t="s">
        <v>30</v>
      </c>
      <c r="G40" s="19">
        <v>37</v>
      </c>
      <c r="H40" s="21" t="s">
        <v>82</v>
      </c>
      <c r="I40" s="22">
        <v>46270</v>
      </c>
      <c r="J40" s="5" t="s">
        <v>49</v>
      </c>
      <c r="K40" s="21" t="s">
        <v>33</v>
      </c>
      <c r="L40" s="14">
        <v>12070</v>
      </c>
      <c r="M40" s="19">
        <v>37</v>
      </c>
      <c r="N40" s="21" t="s">
        <v>82</v>
      </c>
      <c r="O40" s="22">
        <v>46270</v>
      </c>
      <c r="P40" s="5" t="s">
        <v>49</v>
      </c>
      <c r="Q40" s="21" t="s">
        <v>33</v>
      </c>
      <c r="R40" s="14">
        <v>12070</v>
      </c>
      <c r="S40" s="15">
        <v>0</v>
      </c>
      <c r="T40" s="23" t="s">
        <v>34</v>
      </c>
      <c r="U40" s="23" t="s">
        <v>35</v>
      </c>
      <c r="V40" s="24"/>
      <c r="W40" s="24"/>
    </row>
    <row r="41" spans="1:23">
      <c r="A41" s="19">
        <v>37</v>
      </c>
      <c r="B41" s="8" t="s">
        <v>27</v>
      </c>
      <c r="C41" s="20" t="s">
        <v>28</v>
      </c>
      <c r="D41" s="21" t="s">
        <v>29</v>
      </c>
      <c r="E41" s="19">
        <v>100</v>
      </c>
      <c r="F41" s="21" t="s">
        <v>30</v>
      </c>
      <c r="G41" s="19">
        <v>38</v>
      </c>
      <c r="H41" s="21" t="s">
        <v>83</v>
      </c>
      <c r="I41" s="22">
        <v>46289</v>
      </c>
      <c r="J41" s="5" t="s">
        <v>39</v>
      </c>
      <c r="K41" s="21" t="s">
        <v>40</v>
      </c>
      <c r="L41" s="14">
        <v>1050</v>
      </c>
      <c r="M41" s="19">
        <v>38</v>
      </c>
      <c r="N41" s="21" t="s">
        <v>83</v>
      </c>
      <c r="O41" s="22">
        <v>46289</v>
      </c>
      <c r="P41" s="5" t="s">
        <v>39</v>
      </c>
      <c r="Q41" s="21" t="s">
        <v>40</v>
      </c>
      <c r="R41" s="14">
        <v>1050</v>
      </c>
      <c r="S41" s="15">
        <v>0</v>
      </c>
      <c r="T41" s="23" t="s">
        <v>34</v>
      </c>
      <c r="U41" s="23" t="s">
        <v>35</v>
      </c>
      <c r="V41" s="24"/>
      <c r="W41" s="24"/>
    </row>
    <row r="42" spans="1:23">
      <c r="A42" s="19">
        <v>38</v>
      </c>
      <c r="B42" s="8" t="s">
        <v>27</v>
      </c>
      <c r="C42" s="20" t="s">
        <v>28</v>
      </c>
      <c r="D42" s="21" t="s">
        <v>29</v>
      </c>
      <c r="E42" s="19">
        <v>100</v>
      </c>
      <c r="F42" s="21" t="s">
        <v>30</v>
      </c>
      <c r="G42" s="19">
        <v>39</v>
      </c>
      <c r="H42" s="21" t="s">
        <v>84</v>
      </c>
      <c r="I42" s="22">
        <v>46283</v>
      </c>
      <c r="J42" s="5" t="s">
        <v>42</v>
      </c>
      <c r="K42" s="21" t="s">
        <v>33</v>
      </c>
      <c r="L42" s="14">
        <v>12099</v>
      </c>
      <c r="M42" s="19">
        <v>39</v>
      </c>
      <c r="N42" s="21" t="s">
        <v>84</v>
      </c>
      <c r="O42" s="22">
        <v>46283</v>
      </c>
      <c r="P42" s="5" t="s">
        <v>42</v>
      </c>
      <c r="Q42" s="21" t="s">
        <v>33</v>
      </c>
      <c r="R42" s="14">
        <v>12099</v>
      </c>
      <c r="S42" s="15">
        <v>0</v>
      </c>
      <c r="T42" s="23" t="s">
        <v>34</v>
      </c>
      <c r="U42" s="23" t="s">
        <v>35</v>
      </c>
      <c r="V42" s="24"/>
      <c r="W42" s="24"/>
    </row>
    <row r="43" spans="1:23">
      <c r="A43" s="19">
        <v>39</v>
      </c>
      <c r="B43" s="8" t="s">
        <v>27</v>
      </c>
      <c r="C43" s="20" t="s">
        <v>28</v>
      </c>
      <c r="D43" s="21" t="s">
        <v>29</v>
      </c>
      <c r="E43" s="19">
        <v>100</v>
      </c>
      <c r="F43" s="21" t="s">
        <v>30</v>
      </c>
      <c r="G43" s="19">
        <v>40</v>
      </c>
      <c r="H43" s="21" t="s">
        <v>85</v>
      </c>
      <c r="I43" s="22">
        <v>46280</v>
      </c>
      <c r="J43" s="5" t="s">
        <v>59</v>
      </c>
      <c r="K43" s="21" t="s">
        <v>40</v>
      </c>
      <c r="L43" s="14">
        <v>7521</v>
      </c>
      <c r="M43" s="19">
        <v>40</v>
      </c>
      <c r="N43" s="21" t="s">
        <v>85</v>
      </c>
      <c r="O43" s="22">
        <v>46280</v>
      </c>
      <c r="P43" s="5" t="s">
        <v>59</v>
      </c>
      <c r="Q43" s="21" t="s">
        <v>40</v>
      </c>
      <c r="R43" s="14">
        <v>7521</v>
      </c>
      <c r="S43" s="15">
        <v>0</v>
      </c>
      <c r="T43" s="23" t="s">
        <v>34</v>
      </c>
      <c r="U43" s="23" t="s">
        <v>35</v>
      </c>
      <c r="V43" s="24"/>
      <c r="W43" s="24"/>
    </row>
    <row r="44" spans="1:23">
      <c r="A44" s="19">
        <v>40</v>
      </c>
      <c r="B44" s="8" t="s">
        <v>27</v>
      </c>
      <c r="C44" s="20" t="s">
        <v>28</v>
      </c>
      <c r="D44" s="21" t="s">
        <v>29</v>
      </c>
      <c r="E44" s="19">
        <v>100</v>
      </c>
      <c r="F44" s="21" t="s">
        <v>30</v>
      </c>
      <c r="G44" s="19">
        <v>41</v>
      </c>
      <c r="H44" s="21" t="s">
        <v>86</v>
      </c>
      <c r="I44" s="22">
        <v>46275</v>
      </c>
      <c r="J44" s="5" t="s">
        <v>65</v>
      </c>
      <c r="K44" s="21" t="s">
        <v>40</v>
      </c>
      <c r="L44" s="14">
        <v>2523</v>
      </c>
      <c r="M44" s="19">
        <v>41</v>
      </c>
      <c r="N44" s="21" t="s">
        <v>86</v>
      </c>
      <c r="O44" s="22">
        <v>46275</v>
      </c>
      <c r="P44" s="5" t="s">
        <v>65</v>
      </c>
      <c r="Q44" s="21" t="s">
        <v>40</v>
      </c>
      <c r="R44" s="14">
        <v>2523</v>
      </c>
      <c r="S44" s="15">
        <v>0</v>
      </c>
      <c r="T44" s="23" t="s">
        <v>34</v>
      </c>
      <c r="U44" s="23" t="s">
        <v>35</v>
      </c>
      <c r="V44" s="24"/>
      <c r="W44" s="24"/>
    </row>
    <row r="45" spans="1:23">
      <c r="A45" s="19">
        <v>41</v>
      </c>
      <c r="B45" s="8" t="s">
        <v>27</v>
      </c>
      <c r="C45" s="20" t="s">
        <v>28</v>
      </c>
      <c r="D45" s="21" t="s">
        <v>29</v>
      </c>
      <c r="E45" s="19">
        <v>100</v>
      </c>
      <c r="F45" s="21" t="s">
        <v>30</v>
      </c>
      <c r="G45" s="19">
        <v>42</v>
      </c>
      <c r="H45" s="21" t="s">
        <v>87</v>
      </c>
      <c r="I45" s="22">
        <v>46275</v>
      </c>
      <c r="J45" s="5" t="s">
        <v>32</v>
      </c>
      <c r="K45" s="21" t="s">
        <v>33</v>
      </c>
      <c r="L45" s="14">
        <v>1503</v>
      </c>
      <c r="M45" s="19">
        <v>42</v>
      </c>
      <c r="N45" s="21" t="s">
        <v>87</v>
      </c>
      <c r="O45" s="22">
        <v>46275</v>
      </c>
      <c r="P45" s="5" t="s">
        <v>32</v>
      </c>
      <c r="Q45" s="21" t="s">
        <v>33</v>
      </c>
      <c r="R45" s="14">
        <v>1503</v>
      </c>
      <c r="S45" s="15">
        <v>0</v>
      </c>
      <c r="T45" s="23" t="s">
        <v>34</v>
      </c>
      <c r="U45" s="23" t="s">
        <v>35</v>
      </c>
      <c r="V45" s="24"/>
      <c r="W45" s="24"/>
    </row>
    <row r="46" spans="1:23">
      <c r="A46" s="19">
        <v>42</v>
      </c>
      <c r="B46" s="8" t="s">
        <v>27</v>
      </c>
      <c r="C46" s="20" t="s">
        <v>28</v>
      </c>
      <c r="D46" s="21" t="s">
        <v>29</v>
      </c>
      <c r="E46" s="19">
        <v>100</v>
      </c>
      <c r="F46" s="21" t="s">
        <v>30</v>
      </c>
      <c r="G46" s="19">
        <v>43</v>
      </c>
      <c r="H46" s="21" t="s">
        <v>88</v>
      </c>
      <c r="I46" s="22">
        <v>46278</v>
      </c>
      <c r="J46" s="5" t="s">
        <v>62</v>
      </c>
      <c r="K46" s="21" t="s">
        <v>33</v>
      </c>
      <c r="L46" s="14">
        <v>2525</v>
      </c>
      <c r="M46" s="19">
        <v>43</v>
      </c>
      <c r="N46" s="21" t="s">
        <v>88</v>
      </c>
      <c r="O46" s="22">
        <v>46278</v>
      </c>
      <c r="P46" s="5" t="s">
        <v>62</v>
      </c>
      <c r="Q46" s="21" t="s">
        <v>33</v>
      </c>
      <c r="R46" s="14">
        <v>2525</v>
      </c>
      <c r="S46" s="15">
        <v>0</v>
      </c>
      <c r="T46" s="23" t="s">
        <v>34</v>
      </c>
      <c r="U46" s="23" t="s">
        <v>35</v>
      </c>
      <c r="V46" s="24"/>
      <c r="W46" s="24"/>
    </row>
    <row r="47" spans="1:23">
      <c r="A47" s="19">
        <v>43</v>
      </c>
      <c r="B47" s="8" t="s">
        <v>27</v>
      </c>
      <c r="C47" s="20" t="s">
        <v>28</v>
      </c>
      <c r="D47" s="21" t="s">
        <v>89</v>
      </c>
      <c r="E47" s="19">
        <v>95</v>
      </c>
      <c r="F47" s="21" t="s">
        <v>30</v>
      </c>
      <c r="G47" s="19">
        <v>44</v>
      </c>
      <c r="H47" s="21"/>
      <c r="I47" s="22">
        <v>46273</v>
      </c>
      <c r="J47" s="5" t="s">
        <v>39</v>
      </c>
      <c r="K47" s="21" t="s">
        <v>40</v>
      </c>
      <c r="L47" s="14">
        <v>562</v>
      </c>
      <c r="M47" s="19">
        <v>44</v>
      </c>
      <c r="N47" s="21"/>
      <c r="O47" s="22">
        <v>46273</v>
      </c>
      <c r="P47" s="5" t="s">
        <v>39</v>
      </c>
      <c r="Q47" s="21" t="s">
        <v>40</v>
      </c>
      <c r="R47" s="14">
        <v>562</v>
      </c>
      <c r="S47" s="15">
        <v>0</v>
      </c>
      <c r="T47" s="23" t="s">
        <v>90</v>
      </c>
      <c r="U47" s="23" t="s">
        <v>35</v>
      </c>
      <c r="V47" s="24"/>
      <c r="W47" s="24"/>
    </row>
    <row r="48" spans="1:23">
      <c r="A48" s="19">
        <v>44</v>
      </c>
      <c r="B48" s="8" t="s">
        <v>27</v>
      </c>
      <c r="C48" s="20" t="s">
        <v>28</v>
      </c>
      <c r="D48" s="21" t="s">
        <v>29</v>
      </c>
      <c r="E48" s="19">
        <v>100</v>
      </c>
      <c r="F48" s="21" t="s">
        <v>30</v>
      </c>
      <c r="G48" s="19">
        <v>45</v>
      </c>
      <c r="H48" s="21" t="s">
        <v>91</v>
      </c>
      <c r="I48" s="22">
        <v>46270</v>
      </c>
      <c r="J48" s="5" t="s">
        <v>59</v>
      </c>
      <c r="K48" s="21" t="s">
        <v>33</v>
      </c>
      <c r="L48" s="14">
        <v>519</v>
      </c>
      <c r="M48" s="19">
        <v>45</v>
      </c>
      <c r="N48" s="21" t="s">
        <v>91</v>
      </c>
      <c r="O48" s="22">
        <v>46270</v>
      </c>
      <c r="P48" s="5" t="s">
        <v>59</v>
      </c>
      <c r="Q48" s="21" t="s">
        <v>33</v>
      </c>
      <c r="R48" s="14">
        <v>519</v>
      </c>
      <c r="S48" s="15">
        <v>0</v>
      </c>
      <c r="T48" s="23" t="s">
        <v>34</v>
      </c>
      <c r="U48" s="23" t="s">
        <v>35</v>
      </c>
      <c r="V48" s="24"/>
      <c r="W48" s="24"/>
    </row>
    <row r="49" spans="1:23">
      <c r="A49" s="19">
        <v>45</v>
      </c>
      <c r="B49" s="8" t="s">
        <v>27</v>
      </c>
      <c r="C49" s="20" t="s">
        <v>28</v>
      </c>
      <c r="D49" s="21" t="s">
        <v>29</v>
      </c>
      <c r="E49" s="19">
        <v>100</v>
      </c>
      <c r="F49" s="21" t="s">
        <v>30</v>
      </c>
      <c r="G49" s="19">
        <v>46</v>
      </c>
      <c r="H49" s="21" t="s">
        <v>92</v>
      </c>
      <c r="I49" s="22">
        <v>46291</v>
      </c>
      <c r="J49" s="5" t="s">
        <v>47</v>
      </c>
      <c r="K49" s="21" t="s">
        <v>33</v>
      </c>
      <c r="L49" s="14">
        <v>4060</v>
      </c>
      <c r="M49" s="19">
        <v>46</v>
      </c>
      <c r="N49" s="21" t="s">
        <v>92</v>
      </c>
      <c r="O49" s="22">
        <v>46291</v>
      </c>
      <c r="P49" s="5" t="s">
        <v>47</v>
      </c>
      <c r="Q49" s="21" t="s">
        <v>33</v>
      </c>
      <c r="R49" s="14">
        <v>4060</v>
      </c>
      <c r="S49" s="15">
        <v>0</v>
      </c>
      <c r="T49" s="23" t="s">
        <v>34</v>
      </c>
      <c r="U49" s="23" t="s">
        <v>35</v>
      </c>
      <c r="V49" s="24"/>
      <c r="W49" s="24"/>
    </row>
    <row r="50" spans="1:23">
      <c r="A50" s="19">
        <v>46</v>
      </c>
      <c r="B50" s="8" t="s">
        <v>27</v>
      </c>
      <c r="C50" s="20" t="s">
        <v>28</v>
      </c>
      <c r="D50" s="21" t="s">
        <v>29</v>
      </c>
      <c r="E50" s="19">
        <v>100</v>
      </c>
      <c r="F50" s="21" t="s">
        <v>30</v>
      </c>
      <c r="G50" s="19">
        <v>47</v>
      </c>
      <c r="H50" s="21" t="s">
        <v>93</v>
      </c>
      <c r="I50" s="22">
        <v>46273</v>
      </c>
      <c r="J50" s="5" t="s">
        <v>65</v>
      </c>
      <c r="K50" s="21" t="s">
        <v>40</v>
      </c>
      <c r="L50" s="14">
        <v>4071</v>
      </c>
      <c r="M50" s="19">
        <v>47</v>
      </c>
      <c r="N50" s="21" t="s">
        <v>93</v>
      </c>
      <c r="O50" s="22">
        <v>46273</v>
      </c>
      <c r="P50" s="5" t="s">
        <v>65</v>
      </c>
      <c r="Q50" s="21" t="s">
        <v>40</v>
      </c>
      <c r="R50" s="14">
        <v>4071</v>
      </c>
      <c r="S50" s="15">
        <v>0</v>
      </c>
      <c r="T50" s="23" t="s">
        <v>34</v>
      </c>
      <c r="U50" s="23" t="s">
        <v>35</v>
      </c>
      <c r="V50" s="24"/>
      <c r="W50" s="24"/>
    </row>
    <row r="51" spans="1:23">
      <c r="A51" s="19">
        <v>47</v>
      </c>
      <c r="B51" s="8" t="s">
        <v>27</v>
      </c>
      <c r="C51" s="20" t="s">
        <v>28</v>
      </c>
      <c r="D51" s="21" t="s">
        <v>29</v>
      </c>
      <c r="E51" s="19">
        <v>100</v>
      </c>
      <c r="F51" s="21" t="s">
        <v>30</v>
      </c>
      <c r="G51" s="19">
        <v>48</v>
      </c>
      <c r="H51" s="21" t="s">
        <v>94</v>
      </c>
      <c r="I51" s="22">
        <v>46277</v>
      </c>
      <c r="J51" s="5" t="s">
        <v>42</v>
      </c>
      <c r="K51" s="21" t="s">
        <v>40</v>
      </c>
      <c r="L51" s="14">
        <v>509</v>
      </c>
      <c r="M51" s="19">
        <v>48</v>
      </c>
      <c r="N51" s="21" t="s">
        <v>94</v>
      </c>
      <c r="O51" s="22">
        <v>46277</v>
      </c>
      <c r="P51" s="5" t="s">
        <v>42</v>
      </c>
      <c r="Q51" s="21" t="s">
        <v>40</v>
      </c>
      <c r="R51" s="14">
        <v>509</v>
      </c>
      <c r="S51" s="15">
        <v>0</v>
      </c>
      <c r="T51" s="23" t="s">
        <v>34</v>
      </c>
      <c r="U51" s="23" t="s">
        <v>35</v>
      </c>
      <c r="V51" s="24"/>
      <c r="W51" s="24"/>
    </row>
    <row r="52" spans="1:23">
      <c r="A52" s="19">
        <v>48</v>
      </c>
      <c r="B52" s="8" t="s">
        <v>27</v>
      </c>
      <c r="C52" s="20" t="s">
        <v>28</v>
      </c>
      <c r="D52" s="21" t="s">
        <v>29</v>
      </c>
      <c r="E52" s="19">
        <v>100</v>
      </c>
      <c r="F52" s="21" t="s">
        <v>30</v>
      </c>
      <c r="G52" s="19">
        <v>49</v>
      </c>
      <c r="H52" s="21" t="s">
        <v>95</v>
      </c>
      <c r="I52" s="22">
        <v>46279</v>
      </c>
      <c r="J52" s="5" t="s">
        <v>45</v>
      </c>
      <c r="K52" s="21" t="s">
        <v>33</v>
      </c>
      <c r="L52" s="14">
        <v>912.75</v>
      </c>
      <c r="M52" s="19">
        <v>49</v>
      </c>
      <c r="N52" s="21" t="s">
        <v>95</v>
      </c>
      <c r="O52" s="22">
        <v>46279</v>
      </c>
      <c r="P52" s="5" t="s">
        <v>45</v>
      </c>
      <c r="Q52" s="21" t="s">
        <v>33</v>
      </c>
      <c r="R52" s="14">
        <v>912.75</v>
      </c>
      <c r="S52" s="15">
        <v>0</v>
      </c>
      <c r="T52" s="23" t="s">
        <v>34</v>
      </c>
      <c r="U52" s="23" t="s">
        <v>35</v>
      </c>
      <c r="V52" s="24"/>
      <c r="W52" s="24"/>
    </row>
    <row r="53" spans="1:23">
      <c r="A53" s="19">
        <v>49</v>
      </c>
      <c r="B53" s="8" t="s">
        <v>27</v>
      </c>
      <c r="C53" s="20" t="s">
        <v>28</v>
      </c>
      <c r="D53" s="21" t="s">
        <v>29</v>
      </c>
      <c r="E53" s="19">
        <v>100</v>
      </c>
      <c r="F53" s="21" t="s">
        <v>30</v>
      </c>
      <c r="G53" s="19">
        <v>50</v>
      </c>
      <c r="H53" s="21" t="s">
        <v>96</v>
      </c>
      <c r="I53" s="22">
        <v>46280</v>
      </c>
      <c r="J53" s="5" t="s">
        <v>39</v>
      </c>
      <c r="K53" s="21" t="s">
        <v>33</v>
      </c>
      <c r="L53" s="14">
        <v>12064</v>
      </c>
      <c r="M53" s="19">
        <v>50</v>
      </c>
      <c r="N53" s="21" t="s">
        <v>96</v>
      </c>
      <c r="O53" s="22">
        <v>46280</v>
      </c>
      <c r="P53" s="5" t="s">
        <v>39</v>
      </c>
      <c r="Q53" s="21" t="s">
        <v>33</v>
      </c>
      <c r="R53" s="14">
        <v>12064</v>
      </c>
      <c r="S53" s="15">
        <v>0</v>
      </c>
      <c r="T53" s="23" t="s">
        <v>34</v>
      </c>
      <c r="U53" s="23" t="s">
        <v>35</v>
      </c>
      <c r="V53" s="24"/>
      <c r="W53" s="24"/>
    </row>
    <row r="54" spans="1:23">
      <c r="A54" s="19">
        <v>50</v>
      </c>
      <c r="B54" s="8" t="s">
        <v>27</v>
      </c>
      <c r="C54" s="20" t="s">
        <v>28</v>
      </c>
      <c r="D54" s="21" t="s">
        <v>29</v>
      </c>
      <c r="E54" s="19">
        <v>100</v>
      </c>
      <c r="F54" s="21" t="s">
        <v>30</v>
      </c>
      <c r="G54" s="19">
        <v>51</v>
      </c>
      <c r="H54" s="21" t="s">
        <v>97</v>
      </c>
      <c r="I54" s="22">
        <v>46266</v>
      </c>
      <c r="J54" s="5" t="s">
        <v>47</v>
      </c>
      <c r="K54" s="21" t="s">
        <v>33</v>
      </c>
      <c r="L54" s="14">
        <v>2567</v>
      </c>
      <c r="M54" s="19">
        <v>51</v>
      </c>
      <c r="N54" s="21" t="s">
        <v>97</v>
      </c>
      <c r="O54" s="22">
        <v>46266</v>
      </c>
      <c r="P54" s="5" t="s">
        <v>47</v>
      </c>
      <c r="Q54" s="21" t="s">
        <v>33</v>
      </c>
      <c r="R54" s="14">
        <v>2567</v>
      </c>
      <c r="S54" s="15">
        <v>0</v>
      </c>
      <c r="T54" s="23" t="s">
        <v>34</v>
      </c>
      <c r="U54" s="23" t="s">
        <v>35</v>
      </c>
      <c r="V54" s="24"/>
      <c r="W54" s="24"/>
    </row>
    <row r="55" spans="1:23">
      <c r="A55" s="19">
        <v>51</v>
      </c>
      <c r="B55" s="8" t="s">
        <v>27</v>
      </c>
      <c r="C55" s="20" t="s">
        <v>28</v>
      </c>
      <c r="D55" s="21" t="s">
        <v>29</v>
      </c>
      <c r="E55" s="19">
        <v>100</v>
      </c>
      <c r="F55" s="21" t="s">
        <v>30</v>
      </c>
      <c r="G55" s="19">
        <v>52</v>
      </c>
      <c r="H55" s="21" t="s">
        <v>98</v>
      </c>
      <c r="I55" s="22">
        <v>46266</v>
      </c>
      <c r="J55" s="5" t="s">
        <v>47</v>
      </c>
      <c r="K55" s="21" t="s">
        <v>40</v>
      </c>
      <c r="L55" s="14">
        <v>4082</v>
      </c>
      <c r="M55" s="19">
        <v>52</v>
      </c>
      <c r="N55" s="21" t="s">
        <v>98</v>
      </c>
      <c r="O55" s="22">
        <v>46266</v>
      </c>
      <c r="P55" s="5" t="s">
        <v>47</v>
      </c>
      <c r="Q55" s="21" t="s">
        <v>40</v>
      </c>
      <c r="R55" s="14">
        <v>4082</v>
      </c>
      <c r="S55" s="15">
        <v>0</v>
      </c>
      <c r="T55" s="23" t="s">
        <v>34</v>
      </c>
      <c r="U55" s="23" t="s">
        <v>35</v>
      </c>
      <c r="V55" s="24"/>
      <c r="W55" s="24"/>
    </row>
    <row r="56" spans="1:23">
      <c r="A56" s="19">
        <v>52</v>
      </c>
      <c r="B56" s="8" t="s">
        <v>27</v>
      </c>
      <c r="C56" s="20" t="s">
        <v>28</v>
      </c>
      <c r="D56" s="21" t="s">
        <v>29</v>
      </c>
      <c r="E56" s="19">
        <v>100</v>
      </c>
      <c r="F56" s="21" t="s">
        <v>30</v>
      </c>
      <c r="G56" s="19">
        <v>53</v>
      </c>
      <c r="H56" s="21" t="s">
        <v>99</v>
      </c>
      <c r="I56" s="22">
        <v>46272</v>
      </c>
      <c r="J56" s="5" t="s">
        <v>42</v>
      </c>
      <c r="K56" s="21" t="s">
        <v>33</v>
      </c>
      <c r="L56" s="14">
        <v>7526</v>
      </c>
      <c r="M56" s="19">
        <v>53</v>
      </c>
      <c r="N56" s="21" t="s">
        <v>99</v>
      </c>
      <c r="O56" s="22">
        <v>46272</v>
      </c>
      <c r="P56" s="5" t="s">
        <v>42</v>
      </c>
      <c r="Q56" s="21" t="s">
        <v>33</v>
      </c>
      <c r="R56" s="14">
        <v>7526</v>
      </c>
      <c r="S56" s="15">
        <v>0</v>
      </c>
      <c r="T56" s="23" t="s">
        <v>34</v>
      </c>
      <c r="U56" s="23" t="s">
        <v>35</v>
      </c>
      <c r="V56" s="24"/>
      <c r="W56" s="24"/>
    </row>
    <row r="57" spans="1:23">
      <c r="A57" s="19">
        <v>53</v>
      </c>
      <c r="B57" s="8" t="s">
        <v>27</v>
      </c>
      <c r="C57" s="20" t="s">
        <v>28</v>
      </c>
      <c r="D57" s="21" t="s">
        <v>29</v>
      </c>
      <c r="E57" s="19">
        <v>100</v>
      </c>
      <c r="F57" s="21" t="s">
        <v>30</v>
      </c>
      <c r="G57" s="19">
        <v>54</v>
      </c>
      <c r="H57" s="21" t="s">
        <v>100</v>
      </c>
      <c r="I57" s="22">
        <v>46278</v>
      </c>
      <c r="J57" s="5" t="s">
        <v>32</v>
      </c>
      <c r="K57" s="21" t="s">
        <v>33</v>
      </c>
      <c r="L57" s="14">
        <v>12050</v>
      </c>
      <c r="M57" s="19">
        <v>54</v>
      </c>
      <c r="N57" s="21" t="s">
        <v>100</v>
      </c>
      <c r="O57" s="22">
        <v>46278</v>
      </c>
      <c r="P57" s="5" t="s">
        <v>32</v>
      </c>
      <c r="Q57" s="21" t="s">
        <v>33</v>
      </c>
      <c r="R57" s="14">
        <v>12050</v>
      </c>
      <c r="S57" s="15">
        <v>0</v>
      </c>
      <c r="T57" s="23" t="s">
        <v>34</v>
      </c>
      <c r="U57" s="23" t="s">
        <v>35</v>
      </c>
      <c r="V57" s="24"/>
      <c r="W57" s="24"/>
    </row>
    <row r="58" spans="1:23">
      <c r="A58" s="19">
        <v>54</v>
      </c>
      <c r="B58" s="8" t="s">
        <v>27</v>
      </c>
      <c r="C58" s="20" t="s">
        <v>28</v>
      </c>
      <c r="D58" s="21" t="s">
        <v>29</v>
      </c>
      <c r="E58" s="19">
        <v>100</v>
      </c>
      <c r="F58" s="21" t="s">
        <v>30</v>
      </c>
      <c r="G58" s="19">
        <v>55</v>
      </c>
      <c r="H58" s="21" t="s">
        <v>101</v>
      </c>
      <c r="I58" s="22">
        <v>46284</v>
      </c>
      <c r="J58" s="5" t="s">
        <v>45</v>
      </c>
      <c r="K58" s="21" t="s">
        <v>33</v>
      </c>
      <c r="L58" s="14">
        <v>564</v>
      </c>
      <c r="M58" s="19">
        <v>55</v>
      </c>
      <c r="N58" s="21" t="s">
        <v>101</v>
      </c>
      <c r="O58" s="22">
        <v>46284</v>
      </c>
      <c r="P58" s="5" t="s">
        <v>45</v>
      </c>
      <c r="Q58" s="21" t="s">
        <v>33</v>
      </c>
      <c r="R58" s="14">
        <v>564</v>
      </c>
      <c r="S58" s="15">
        <v>0</v>
      </c>
      <c r="T58" s="23" t="s">
        <v>34</v>
      </c>
      <c r="U58" s="23" t="s">
        <v>35</v>
      </c>
      <c r="V58" s="24"/>
      <c r="W58" s="24"/>
    </row>
    <row r="59" spans="1:23">
      <c r="A59" s="19">
        <v>55</v>
      </c>
      <c r="B59" s="8" t="s">
        <v>27</v>
      </c>
      <c r="C59" s="20" t="s">
        <v>28</v>
      </c>
      <c r="D59" s="21" t="s">
        <v>89</v>
      </c>
      <c r="E59" s="19">
        <v>95</v>
      </c>
      <c r="F59" s="21" t="s">
        <v>30</v>
      </c>
      <c r="G59" s="19">
        <v>56</v>
      </c>
      <c r="H59" s="21"/>
      <c r="I59" s="22">
        <v>46267</v>
      </c>
      <c r="J59" s="5" t="s">
        <v>37</v>
      </c>
      <c r="K59" s="21" t="s">
        <v>33</v>
      </c>
      <c r="L59" s="14">
        <v>1000</v>
      </c>
      <c r="M59" s="19">
        <v>56</v>
      </c>
      <c r="N59" s="21"/>
      <c r="O59" s="22">
        <v>46267</v>
      </c>
      <c r="P59" s="5" t="s">
        <v>37</v>
      </c>
      <c r="Q59" s="21" t="s">
        <v>33</v>
      </c>
      <c r="R59" s="14">
        <v>1000</v>
      </c>
      <c r="S59" s="15">
        <v>0</v>
      </c>
      <c r="T59" s="23" t="s">
        <v>90</v>
      </c>
      <c r="U59" s="23" t="s">
        <v>35</v>
      </c>
      <c r="V59" s="24"/>
      <c r="W59" s="24"/>
    </row>
    <row r="60" spans="1:23">
      <c r="A60" s="19">
        <v>56</v>
      </c>
      <c r="B60" s="8" t="s">
        <v>27</v>
      </c>
      <c r="C60" s="20" t="s">
        <v>28</v>
      </c>
      <c r="D60" s="21" t="s">
        <v>29</v>
      </c>
      <c r="E60" s="19">
        <v>100</v>
      </c>
      <c r="F60" s="21" t="s">
        <v>30</v>
      </c>
      <c r="G60" s="19">
        <v>57</v>
      </c>
      <c r="H60" s="21" t="s">
        <v>102</v>
      </c>
      <c r="I60" s="22">
        <v>46266</v>
      </c>
      <c r="J60" s="5" t="s">
        <v>71</v>
      </c>
      <c r="K60" s="21" t="s">
        <v>33</v>
      </c>
      <c r="L60" s="14">
        <v>25099</v>
      </c>
      <c r="M60" s="19">
        <v>57</v>
      </c>
      <c r="N60" s="21" t="s">
        <v>102</v>
      </c>
      <c r="O60" s="22">
        <v>46266</v>
      </c>
      <c r="P60" s="5" t="s">
        <v>71</v>
      </c>
      <c r="Q60" s="21" t="s">
        <v>33</v>
      </c>
      <c r="R60" s="14">
        <v>25099</v>
      </c>
      <c r="S60" s="15">
        <v>0</v>
      </c>
      <c r="T60" s="23" t="s">
        <v>34</v>
      </c>
      <c r="U60" s="23" t="s">
        <v>35</v>
      </c>
      <c r="V60" s="24"/>
      <c r="W60" s="24"/>
    </row>
    <row r="61" spans="1:23">
      <c r="A61" s="19">
        <v>57</v>
      </c>
      <c r="B61" s="8" t="s">
        <v>27</v>
      </c>
      <c r="C61" s="20" t="s">
        <v>28</v>
      </c>
      <c r="D61" s="21" t="s">
        <v>29</v>
      </c>
      <c r="E61" s="19">
        <v>100</v>
      </c>
      <c r="F61" s="21" t="s">
        <v>30</v>
      </c>
      <c r="G61" s="19">
        <v>58</v>
      </c>
      <c r="H61" s="21" t="s">
        <v>103</v>
      </c>
      <c r="I61" s="22">
        <v>46269</v>
      </c>
      <c r="J61" s="5" t="s">
        <v>65</v>
      </c>
      <c r="K61" s="21" t="s">
        <v>33</v>
      </c>
      <c r="L61" s="14">
        <v>1072</v>
      </c>
      <c r="M61" s="19">
        <v>58</v>
      </c>
      <c r="N61" s="21" t="s">
        <v>103</v>
      </c>
      <c r="O61" s="22">
        <v>46269</v>
      </c>
      <c r="P61" s="5" t="s">
        <v>65</v>
      </c>
      <c r="Q61" s="21" t="s">
        <v>33</v>
      </c>
      <c r="R61" s="14">
        <v>1072</v>
      </c>
      <c r="S61" s="15">
        <v>0</v>
      </c>
      <c r="T61" s="23" t="s">
        <v>34</v>
      </c>
      <c r="U61" s="23" t="s">
        <v>35</v>
      </c>
      <c r="V61" s="24"/>
      <c r="W61" s="24"/>
    </row>
    <row r="62" spans="1:23">
      <c r="A62" s="19">
        <v>58</v>
      </c>
      <c r="B62" s="8" t="s">
        <v>27</v>
      </c>
      <c r="C62" s="20" t="s">
        <v>28</v>
      </c>
      <c r="D62" s="21" t="s">
        <v>29</v>
      </c>
      <c r="E62" s="19">
        <v>100</v>
      </c>
      <c r="F62" s="21" t="s">
        <v>30</v>
      </c>
      <c r="G62" s="19">
        <v>59</v>
      </c>
      <c r="H62" s="21" t="s">
        <v>104</v>
      </c>
      <c r="I62" s="22">
        <v>46270</v>
      </c>
      <c r="J62" s="5" t="s">
        <v>32</v>
      </c>
      <c r="K62" s="21" t="s">
        <v>40</v>
      </c>
      <c r="L62" s="14">
        <v>548</v>
      </c>
      <c r="M62" s="19">
        <v>59</v>
      </c>
      <c r="N62" s="21" t="s">
        <v>104</v>
      </c>
      <c r="O62" s="22">
        <v>46270</v>
      </c>
      <c r="P62" s="5" t="s">
        <v>32</v>
      </c>
      <c r="Q62" s="21" t="s">
        <v>40</v>
      </c>
      <c r="R62" s="14">
        <v>548</v>
      </c>
      <c r="S62" s="15">
        <v>0</v>
      </c>
      <c r="T62" s="23" t="s">
        <v>34</v>
      </c>
      <c r="U62" s="23" t="s">
        <v>35</v>
      </c>
      <c r="V62" s="24"/>
      <c r="W62" s="24"/>
    </row>
    <row r="63" spans="1:23">
      <c r="A63" s="19">
        <v>59</v>
      </c>
      <c r="B63" s="8" t="s">
        <v>27</v>
      </c>
      <c r="C63" s="20" t="s">
        <v>28</v>
      </c>
      <c r="D63" s="21" t="s">
        <v>29</v>
      </c>
      <c r="E63" s="19">
        <v>100</v>
      </c>
      <c r="F63" s="21" t="s">
        <v>30</v>
      </c>
      <c r="G63" s="19">
        <v>60</v>
      </c>
      <c r="H63" s="21" t="s">
        <v>105</v>
      </c>
      <c r="I63" s="22">
        <v>46272</v>
      </c>
      <c r="J63" s="5" t="s">
        <v>45</v>
      </c>
      <c r="K63" s="21" t="s">
        <v>33</v>
      </c>
      <c r="L63" s="14">
        <v>1026</v>
      </c>
      <c r="M63" s="19">
        <v>60</v>
      </c>
      <c r="N63" s="21" t="s">
        <v>105</v>
      </c>
      <c r="O63" s="22">
        <v>46272</v>
      </c>
      <c r="P63" s="5" t="s">
        <v>45</v>
      </c>
      <c r="Q63" s="21" t="s">
        <v>33</v>
      </c>
      <c r="R63" s="14">
        <v>1026</v>
      </c>
      <c r="S63" s="15">
        <v>0</v>
      </c>
      <c r="T63" s="23" t="s">
        <v>34</v>
      </c>
      <c r="U63" s="23" t="s">
        <v>35</v>
      </c>
      <c r="V63" s="24"/>
      <c r="W63" s="24"/>
    </row>
  </sheetData>
  <autoFilter ref="A4:W63"/>
  <mergeCells count="2">
    <mergeCell ref="G3:L3"/>
    <mergeCell ref="M3:R3"/>
  </mergeCells>
  <dataValidations count="1">
    <dataValidation type="list" allowBlank="1" showInputMessage="1" showErrorMessage="1" sqref="V5:V63">
      <formula1>"معتمد,مرفوض,قيد المراجعة"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09F3E"/>
  </sheetPr>
  <dimension ref="A1:I4"/>
  <sheetViews>
    <sheetView showGridLines="0" rightToLeft="1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8.7109375" customWidth="1"/>
    <col min="3" max="3" width="16.7109375" customWidth="1"/>
    <col min="4" max="4" width="9.7109375" customWidth="1"/>
    <col min="5" max="7" width="15.7109375" customWidth="1"/>
    <col min="8" max="8" width="38.7109375" customWidth="1"/>
    <col min="9" max="9" width="70.7109375" customWidth="1"/>
  </cols>
  <sheetData>
    <row r="1" spans="1:9">
      <c r="A1" s="1" t="s">
        <v>106</v>
      </c>
    </row>
    <row r="2" spans="1:9">
      <c r="A2" s="2" t="s">
        <v>107</v>
      </c>
    </row>
    <row r="4" spans="1:9">
      <c r="A4" s="7" t="s">
        <v>4</v>
      </c>
      <c r="B4" s="7" t="s">
        <v>5</v>
      </c>
      <c r="C4" s="7" t="s">
        <v>29</v>
      </c>
      <c r="D4" s="7" t="s">
        <v>108</v>
      </c>
      <c r="E4" s="7" t="s">
        <v>15</v>
      </c>
      <c r="F4" s="7" t="s">
        <v>21</v>
      </c>
      <c r="G4" s="7" t="s">
        <v>109</v>
      </c>
      <c r="H4" s="7" t="s">
        <v>110</v>
      </c>
      <c r="I4" s="7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392B"/>
  </sheetPr>
  <dimension ref="A1:K4"/>
  <sheetViews>
    <sheetView showGridLines="0" rightToLeft="1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0.7109375" customWidth="1"/>
    <col min="3" max="3" width="18.7109375" customWidth="1"/>
    <col min="4" max="4" width="10.7109375" customWidth="1"/>
    <col min="5" max="5" width="16.7109375" customWidth="1"/>
    <col min="6" max="6" width="9.7109375" customWidth="1"/>
    <col min="7" max="7" width="15.7109375" customWidth="1"/>
    <col min="8" max="8" width="62.7109375" customWidth="1"/>
    <col min="9" max="9" width="52.7109375" customWidth="1"/>
    <col min="10" max="10" width="14.7109375" customWidth="1"/>
    <col min="11" max="11" width="30.7109375" customWidth="1"/>
  </cols>
  <sheetData>
    <row r="1" spans="1:11">
      <c r="A1" s="1" t="s">
        <v>111</v>
      </c>
    </row>
    <row r="2" spans="1:11">
      <c r="A2" s="2" t="s">
        <v>112</v>
      </c>
    </row>
    <row r="4" spans="1:11">
      <c r="A4" s="7" t="s">
        <v>4</v>
      </c>
      <c r="B4" s="7" t="s">
        <v>6</v>
      </c>
      <c r="C4" s="7" t="s">
        <v>5</v>
      </c>
      <c r="D4" s="7" t="s">
        <v>9</v>
      </c>
      <c r="E4" s="7" t="s">
        <v>29</v>
      </c>
      <c r="F4" s="7" t="s">
        <v>108</v>
      </c>
      <c r="G4" s="7" t="s">
        <v>109</v>
      </c>
      <c r="H4" s="7" t="s">
        <v>113</v>
      </c>
      <c r="I4" s="7" t="s">
        <v>24</v>
      </c>
      <c r="J4" s="7" t="s">
        <v>25</v>
      </c>
      <c r="K4" s="7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3"/>
  <sheetViews>
    <sheetView showGridLines="0" rightToLeft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2" width="20.7109375" customWidth="1"/>
    <col min="3" max="3" width="15.7109375" customWidth="1"/>
    <col min="4" max="4" width="16.7109375" customWidth="1"/>
    <col min="5" max="5" width="17.7109375" customWidth="1"/>
    <col min="6" max="6" width="14.7109375" customWidth="1"/>
    <col min="7" max="7" width="12.7109375" customWidth="1"/>
    <col min="8" max="8" width="16.7109375" customWidth="1"/>
  </cols>
  <sheetData>
    <row r="1" spans="1:8">
      <c r="A1" s="1" t="s">
        <v>114</v>
      </c>
    </row>
    <row r="2" spans="1:8">
      <c r="A2" s="2" t="s">
        <v>115</v>
      </c>
    </row>
    <row r="4" spans="1:8">
      <c r="A4" s="16" t="s">
        <v>116</v>
      </c>
      <c r="B4" s="16" t="s">
        <v>117</v>
      </c>
      <c r="C4" s="7" t="s">
        <v>118</v>
      </c>
      <c r="D4" s="7" t="s">
        <v>119</v>
      </c>
      <c r="E4" s="7" t="s">
        <v>120</v>
      </c>
      <c r="F4" s="7" t="s">
        <v>121</v>
      </c>
      <c r="G4" s="7" t="s">
        <v>122</v>
      </c>
      <c r="H4" s="7" t="s">
        <v>123</v>
      </c>
    </row>
    <row r="5" spans="1:8">
      <c r="A5" s="8" t="s">
        <v>27</v>
      </c>
      <c r="B5" s="19">
        <v>1</v>
      </c>
      <c r="C5" s="5" t="s">
        <v>31</v>
      </c>
      <c r="D5" s="22">
        <v>46286</v>
      </c>
      <c r="E5" s="5" t="s">
        <v>32</v>
      </c>
      <c r="F5" s="5" t="s">
        <v>33</v>
      </c>
      <c r="G5" s="5">
        <v>7582</v>
      </c>
      <c r="H5" s="5"/>
    </row>
    <row r="6" spans="1:8">
      <c r="A6" s="8" t="s">
        <v>27</v>
      </c>
      <c r="B6" s="19">
        <v>2</v>
      </c>
      <c r="C6" s="5" t="s">
        <v>36</v>
      </c>
      <c r="D6" s="22">
        <v>46283</v>
      </c>
      <c r="E6" s="5" t="s">
        <v>37</v>
      </c>
      <c r="F6" s="5" t="s">
        <v>33</v>
      </c>
      <c r="G6" s="5">
        <v>1537</v>
      </c>
      <c r="H6" s="5"/>
    </row>
    <row r="7" spans="1:8">
      <c r="A7" s="8" t="s">
        <v>27</v>
      </c>
      <c r="B7" s="19">
        <v>3</v>
      </c>
      <c r="C7" s="5" t="s">
        <v>38</v>
      </c>
      <c r="D7" s="22">
        <v>46278</v>
      </c>
      <c r="E7" s="5" t="s">
        <v>39</v>
      </c>
      <c r="F7" s="5" t="s">
        <v>40</v>
      </c>
      <c r="G7" s="5">
        <v>12021</v>
      </c>
      <c r="H7" s="5">
        <v>10</v>
      </c>
    </row>
    <row r="8" spans="1:8">
      <c r="A8" s="8" t="s">
        <v>27</v>
      </c>
      <c r="B8" s="19">
        <v>4</v>
      </c>
      <c r="C8" s="5" t="s">
        <v>41</v>
      </c>
      <c r="D8" s="22">
        <v>46274</v>
      </c>
      <c r="E8" s="5" t="s">
        <v>42</v>
      </c>
      <c r="F8" s="5" t="s">
        <v>33</v>
      </c>
      <c r="G8" s="5">
        <v>25370</v>
      </c>
      <c r="H8" s="5">
        <v>5</v>
      </c>
    </row>
    <row r="9" spans="1:8">
      <c r="A9" s="8" t="s">
        <v>27</v>
      </c>
      <c r="B9" s="19">
        <v>5</v>
      </c>
      <c r="C9" s="5" t="s">
        <v>43</v>
      </c>
      <c r="D9" s="22">
        <v>46272</v>
      </c>
      <c r="E9" s="5" t="s">
        <v>37</v>
      </c>
      <c r="F9" s="5" t="s">
        <v>40</v>
      </c>
      <c r="G9" s="5">
        <v>4005</v>
      </c>
      <c r="H9" s="5">
        <v>10</v>
      </c>
    </row>
    <row r="10" spans="1:8">
      <c r="A10" s="8" t="s">
        <v>27</v>
      </c>
      <c r="B10" s="19">
        <v>6</v>
      </c>
      <c r="C10" s="5" t="s">
        <v>44</v>
      </c>
      <c r="D10" s="22">
        <v>46291</v>
      </c>
      <c r="E10" s="5" t="s">
        <v>45</v>
      </c>
      <c r="F10" s="5" t="s">
        <v>33</v>
      </c>
      <c r="G10" s="5">
        <v>12095</v>
      </c>
      <c r="H10" s="5"/>
    </row>
    <row r="11" spans="1:8">
      <c r="A11" s="8" t="s">
        <v>27</v>
      </c>
      <c r="B11" s="19">
        <v>7</v>
      </c>
      <c r="C11" s="5" t="s">
        <v>46</v>
      </c>
      <c r="D11" s="22">
        <v>46269</v>
      </c>
      <c r="E11" s="5" t="s">
        <v>47</v>
      </c>
      <c r="F11" s="5" t="s">
        <v>33</v>
      </c>
      <c r="G11" s="5">
        <v>7594</v>
      </c>
      <c r="H11" s="5"/>
    </row>
    <row r="12" spans="1:8">
      <c r="A12" s="8" t="s">
        <v>27</v>
      </c>
      <c r="B12" s="19">
        <v>8</v>
      </c>
      <c r="C12" s="5" t="s">
        <v>48</v>
      </c>
      <c r="D12" s="22">
        <v>46288</v>
      </c>
      <c r="E12" s="5" t="s">
        <v>49</v>
      </c>
      <c r="F12" s="5" t="s">
        <v>33</v>
      </c>
      <c r="G12" s="5">
        <v>12065</v>
      </c>
      <c r="H12" s="5"/>
    </row>
    <row r="13" spans="1:8">
      <c r="A13" s="8" t="s">
        <v>27</v>
      </c>
      <c r="B13" s="19">
        <v>9</v>
      </c>
      <c r="C13" s="5" t="s">
        <v>50</v>
      </c>
      <c r="D13" s="22">
        <v>46270</v>
      </c>
      <c r="E13" s="5" t="s">
        <v>37</v>
      </c>
      <c r="F13" s="5" t="s">
        <v>33</v>
      </c>
      <c r="G13" s="5">
        <v>12083</v>
      </c>
      <c r="H13" s="5"/>
    </row>
    <row r="14" spans="1:8">
      <c r="A14" s="8" t="s">
        <v>27</v>
      </c>
      <c r="B14" s="19">
        <v>10</v>
      </c>
      <c r="C14" s="5" t="s">
        <v>51</v>
      </c>
      <c r="D14" s="22">
        <v>46268</v>
      </c>
      <c r="E14" s="5" t="s">
        <v>45</v>
      </c>
      <c r="F14" s="5" t="s">
        <v>33</v>
      </c>
      <c r="G14" s="5">
        <v>2585</v>
      </c>
      <c r="H14" s="5"/>
    </row>
    <row r="15" spans="1:8">
      <c r="A15" s="8" t="s">
        <v>27</v>
      </c>
      <c r="B15" s="19">
        <v>11</v>
      </c>
      <c r="C15" s="5" t="s">
        <v>52</v>
      </c>
      <c r="D15" s="22">
        <v>46266</v>
      </c>
      <c r="E15" s="5" t="s">
        <v>42</v>
      </c>
      <c r="F15" s="5" t="s">
        <v>33</v>
      </c>
      <c r="G15" s="5">
        <v>1553</v>
      </c>
      <c r="H15" s="5">
        <v>15</v>
      </c>
    </row>
    <row r="16" spans="1:8">
      <c r="A16" s="8" t="s">
        <v>27</v>
      </c>
      <c r="B16" s="19">
        <v>12</v>
      </c>
      <c r="C16" s="5" t="s">
        <v>53</v>
      </c>
      <c r="D16" s="22">
        <v>46278</v>
      </c>
      <c r="E16" s="5" t="s">
        <v>49</v>
      </c>
      <c r="F16" s="5" t="s">
        <v>40</v>
      </c>
      <c r="G16" s="5">
        <v>2561</v>
      </c>
      <c r="H16" s="5">
        <v>5</v>
      </c>
    </row>
    <row r="17" spans="1:8">
      <c r="A17" s="8" t="s">
        <v>27</v>
      </c>
      <c r="B17" s="19">
        <v>13</v>
      </c>
      <c r="C17" s="5" t="s">
        <v>54</v>
      </c>
      <c r="D17" s="22">
        <v>46287</v>
      </c>
      <c r="E17" s="5" t="s">
        <v>37</v>
      </c>
      <c r="F17" s="5" t="s">
        <v>33</v>
      </c>
      <c r="G17" s="5">
        <v>25099</v>
      </c>
      <c r="H17" s="5"/>
    </row>
    <row r="18" spans="1:8">
      <c r="A18" s="8" t="s">
        <v>27</v>
      </c>
      <c r="B18" s="19">
        <v>14</v>
      </c>
      <c r="C18" s="5" t="s">
        <v>55</v>
      </c>
      <c r="D18" s="22">
        <v>46270</v>
      </c>
      <c r="E18" s="5" t="s">
        <v>47</v>
      </c>
      <c r="F18" s="5" t="s">
        <v>40</v>
      </c>
      <c r="G18" s="5">
        <v>501</v>
      </c>
      <c r="H18" s="5"/>
    </row>
    <row r="19" spans="1:8">
      <c r="A19" s="8" t="s">
        <v>27</v>
      </c>
      <c r="B19" s="19">
        <v>15</v>
      </c>
      <c r="C19" s="5" t="s">
        <v>56</v>
      </c>
      <c r="D19" s="22">
        <v>46277</v>
      </c>
      <c r="E19" s="5" t="s">
        <v>37</v>
      </c>
      <c r="F19" s="5" t="s">
        <v>40</v>
      </c>
      <c r="G19" s="5">
        <v>1545</v>
      </c>
      <c r="H19" s="5">
        <v>15</v>
      </c>
    </row>
    <row r="20" spans="1:8">
      <c r="A20" s="8" t="s">
        <v>27</v>
      </c>
      <c r="B20" s="19">
        <v>16</v>
      </c>
      <c r="C20" s="5" t="s">
        <v>57</v>
      </c>
      <c r="D20" s="22">
        <v>46270</v>
      </c>
      <c r="E20" s="5" t="s">
        <v>37</v>
      </c>
      <c r="F20" s="5" t="s">
        <v>40</v>
      </c>
      <c r="G20" s="5">
        <v>25079</v>
      </c>
      <c r="H20" s="5"/>
    </row>
    <row r="21" spans="1:8">
      <c r="A21" s="8" t="s">
        <v>27</v>
      </c>
      <c r="B21" s="19">
        <v>17</v>
      </c>
      <c r="C21" s="5" t="s">
        <v>58</v>
      </c>
      <c r="D21" s="22">
        <v>46286</v>
      </c>
      <c r="E21" s="5" t="s">
        <v>59</v>
      </c>
      <c r="F21" s="5" t="s">
        <v>40</v>
      </c>
      <c r="G21" s="5">
        <v>4044</v>
      </c>
      <c r="H21" s="5"/>
    </row>
    <row r="22" spans="1:8">
      <c r="A22" s="8" t="s">
        <v>27</v>
      </c>
      <c r="B22" s="19">
        <v>18</v>
      </c>
      <c r="C22" s="5" t="s">
        <v>60</v>
      </c>
      <c r="D22" s="22">
        <v>46283</v>
      </c>
      <c r="E22" s="5" t="s">
        <v>47</v>
      </c>
      <c r="F22" s="5" t="s">
        <v>33</v>
      </c>
      <c r="G22" s="5">
        <v>12016</v>
      </c>
      <c r="H22" s="5">
        <v>5</v>
      </c>
    </row>
    <row r="23" spans="1:8">
      <c r="A23" s="8" t="s">
        <v>27</v>
      </c>
      <c r="B23" s="19">
        <v>19</v>
      </c>
      <c r="C23" s="5" t="s">
        <v>61</v>
      </c>
      <c r="D23" s="22">
        <v>46267</v>
      </c>
      <c r="E23" s="5" t="s">
        <v>62</v>
      </c>
      <c r="F23" s="5" t="s">
        <v>33</v>
      </c>
      <c r="G23" s="5">
        <v>1097</v>
      </c>
      <c r="H23" s="5">
        <v>5</v>
      </c>
    </row>
    <row r="24" spans="1:8">
      <c r="A24" s="8" t="s">
        <v>27</v>
      </c>
      <c r="B24" s="19">
        <v>20</v>
      </c>
      <c r="C24" s="5" t="s">
        <v>63</v>
      </c>
      <c r="D24" s="22">
        <v>46290</v>
      </c>
      <c r="E24" s="5" t="s">
        <v>49</v>
      </c>
      <c r="F24" s="5" t="s">
        <v>40</v>
      </c>
      <c r="G24" s="5">
        <v>4016</v>
      </c>
      <c r="H24" s="5">
        <v>10</v>
      </c>
    </row>
    <row r="25" spans="1:8">
      <c r="A25" s="8" t="s">
        <v>27</v>
      </c>
      <c r="B25" s="19">
        <v>21</v>
      </c>
      <c r="C25" s="5" t="s">
        <v>64</v>
      </c>
      <c r="D25" s="22">
        <v>46289</v>
      </c>
      <c r="E25" s="5" t="s">
        <v>65</v>
      </c>
      <c r="F25" s="5" t="s">
        <v>66</v>
      </c>
      <c r="G25" s="5">
        <v>1555</v>
      </c>
      <c r="H25" s="5"/>
    </row>
    <row r="26" spans="1:8">
      <c r="A26" s="8" t="s">
        <v>27</v>
      </c>
      <c r="B26" s="19">
        <v>22</v>
      </c>
      <c r="C26" s="5" t="s">
        <v>67</v>
      </c>
      <c r="D26" s="22">
        <v>46272</v>
      </c>
      <c r="E26" s="5" t="s">
        <v>59</v>
      </c>
      <c r="F26" s="5" t="s">
        <v>33</v>
      </c>
      <c r="G26" s="5">
        <v>4057</v>
      </c>
      <c r="H26" s="5">
        <v>15</v>
      </c>
    </row>
    <row r="27" spans="1:8">
      <c r="A27" s="8" t="s">
        <v>27</v>
      </c>
      <c r="B27" s="19">
        <v>23</v>
      </c>
      <c r="C27" s="5" t="s">
        <v>68</v>
      </c>
      <c r="D27" s="22">
        <v>46282</v>
      </c>
      <c r="E27" s="5" t="s">
        <v>65</v>
      </c>
      <c r="F27" s="5" t="s">
        <v>33</v>
      </c>
      <c r="G27" s="5">
        <v>7581</v>
      </c>
      <c r="H27" s="5"/>
    </row>
    <row r="28" spans="1:8">
      <c r="A28" s="8" t="s">
        <v>27</v>
      </c>
      <c r="B28" s="19">
        <v>24</v>
      </c>
      <c r="C28" s="5" t="s">
        <v>69</v>
      </c>
      <c r="D28" s="22">
        <v>46266</v>
      </c>
      <c r="E28" s="5" t="s">
        <v>37</v>
      </c>
      <c r="F28" s="5" t="s">
        <v>33</v>
      </c>
      <c r="G28" s="5">
        <v>1056</v>
      </c>
      <c r="H28" s="5">
        <v>15</v>
      </c>
    </row>
    <row r="29" spans="1:8">
      <c r="A29" s="8" t="s">
        <v>27</v>
      </c>
      <c r="B29" s="19">
        <v>25</v>
      </c>
      <c r="C29" s="5" t="s">
        <v>70</v>
      </c>
      <c r="D29" s="22">
        <v>46274</v>
      </c>
      <c r="E29" s="5" t="s">
        <v>71</v>
      </c>
      <c r="F29" s="5" t="s">
        <v>40</v>
      </c>
      <c r="G29" s="5">
        <v>25089</v>
      </c>
      <c r="H29" s="5">
        <v>5</v>
      </c>
    </row>
    <row r="30" spans="1:8">
      <c r="A30" s="8" t="s">
        <v>27</v>
      </c>
      <c r="B30" s="19">
        <v>26</v>
      </c>
      <c r="C30" s="5" t="s">
        <v>72</v>
      </c>
      <c r="D30" s="22">
        <v>46275</v>
      </c>
      <c r="E30" s="5" t="s">
        <v>73</v>
      </c>
      <c r="F30" s="5" t="s">
        <v>40</v>
      </c>
      <c r="G30" s="5">
        <v>25043</v>
      </c>
      <c r="H30" s="5">
        <v>15</v>
      </c>
    </row>
    <row r="31" spans="1:8">
      <c r="A31" s="8" t="s">
        <v>27</v>
      </c>
      <c r="B31" s="19">
        <v>27</v>
      </c>
      <c r="C31" s="5" t="s">
        <v>54</v>
      </c>
      <c r="D31" s="22">
        <v>46287</v>
      </c>
      <c r="E31" s="5" t="s">
        <v>37</v>
      </c>
      <c r="F31" s="5" t="s">
        <v>33</v>
      </c>
      <c r="G31" s="5">
        <v>25099</v>
      </c>
      <c r="H31" s="5"/>
    </row>
    <row r="32" spans="1:8">
      <c r="A32" s="8" t="s">
        <v>27</v>
      </c>
      <c r="B32" s="19">
        <v>28</v>
      </c>
      <c r="C32" s="5" t="s">
        <v>74</v>
      </c>
      <c r="D32" s="22">
        <v>46284</v>
      </c>
      <c r="E32" s="5" t="s">
        <v>32</v>
      </c>
      <c r="F32" s="5" t="s">
        <v>33</v>
      </c>
      <c r="G32" s="5">
        <v>25036</v>
      </c>
      <c r="H32" s="5">
        <v>5</v>
      </c>
    </row>
    <row r="33" spans="1:8">
      <c r="A33" s="8" t="s">
        <v>27</v>
      </c>
      <c r="B33" s="19">
        <v>29</v>
      </c>
      <c r="C33" s="5" t="s">
        <v>75</v>
      </c>
      <c r="D33" s="22">
        <v>46293</v>
      </c>
      <c r="E33" s="5" t="s">
        <v>73</v>
      </c>
      <c r="F33" s="5" t="s">
        <v>33</v>
      </c>
      <c r="G33" s="5">
        <v>25059</v>
      </c>
      <c r="H33" s="5"/>
    </row>
    <row r="34" spans="1:8">
      <c r="A34" s="8" t="s">
        <v>27</v>
      </c>
      <c r="B34" s="19">
        <v>30</v>
      </c>
      <c r="C34" s="5" t="s">
        <v>76</v>
      </c>
      <c r="D34" s="22">
        <v>46292</v>
      </c>
      <c r="E34" s="5" t="s">
        <v>39</v>
      </c>
      <c r="F34" s="5" t="s">
        <v>66</v>
      </c>
      <c r="G34" s="5">
        <v>25084</v>
      </c>
      <c r="H34" s="5">
        <v>15</v>
      </c>
    </row>
    <row r="35" spans="1:8">
      <c r="A35" s="8" t="s">
        <v>27</v>
      </c>
      <c r="B35" s="19">
        <v>31</v>
      </c>
      <c r="C35" s="5" t="s">
        <v>77</v>
      </c>
      <c r="D35" s="22">
        <v>46288</v>
      </c>
      <c r="E35" s="5" t="s">
        <v>39</v>
      </c>
      <c r="F35" s="5" t="s">
        <v>33</v>
      </c>
      <c r="G35" s="5">
        <v>7518</v>
      </c>
      <c r="H35" s="5">
        <v>10</v>
      </c>
    </row>
    <row r="36" spans="1:8">
      <c r="A36" s="8" t="s">
        <v>27</v>
      </c>
      <c r="B36" s="19">
        <v>32</v>
      </c>
      <c r="C36" s="5" t="s">
        <v>78</v>
      </c>
      <c r="D36" s="22">
        <v>46280</v>
      </c>
      <c r="E36" s="5" t="s">
        <v>45</v>
      </c>
      <c r="F36" s="5" t="s">
        <v>33</v>
      </c>
      <c r="G36" s="5">
        <v>7546</v>
      </c>
      <c r="H36" s="5"/>
    </row>
    <row r="37" spans="1:8">
      <c r="A37" s="8" t="s">
        <v>27</v>
      </c>
      <c r="B37" s="19">
        <v>33</v>
      </c>
      <c r="C37" s="5" t="s">
        <v>79</v>
      </c>
      <c r="D37" s="22">
        <v>46277</v>
      </c>
      <c r="E37" s="5" t="s">
        <v>45</v>
      </c>
      <c r="F37" s="5" t="s">
        <v>40</v>
      </c>
      <c r="G37" s="5">
        <v>25064</v>
      </c>
      <c r="H37" s="5">
        <v>10</v>
      </c>
    </row>
    <row r="38" spans="1:8">
      <c r="A38" s="8" t="s">
        <v>27</v>
      </c>
      <c r="B38" s="19">
        <v>34</v>
      </c>
      <c r="C38" s="5" t="s">
        <v>80</v>
      </c>
      <c r="D38" s="22">
        <v>46268</v>
      </c>
      <c r="E38" s="5" t="s">
        <v>71</v>
      </c>
      <c r="F38" s="5" t="s">
        <v>33</v>
      </c>
      <c r="G38" s="5">
        <v>2511</v>
      </c>
      <c r="H38" s="5">
        <v>15</v>
      </c>
    </row>
    <row r="39" spans="1:8">
      <c r="A39" s="8" t="s">
        <v>27</v>
      </c>
      <c r="B39" s="19">
        <v>35</v>
      </c>
      <c r="C39" s="5" t="s">
        <v>81</v>
      </c>
      <c r="D39" s="22">
        <v>46278</v>
      </c>
      <c r="E39" s="5" t="s">
        <v>39</v>
      </c>
      <c r="F39" s="5" t="s">
        <v>33</v>
      </c>
      <c r="G39" s="5">
        <v>2519</v>
      </c>
      <c r="H39" s="5"/>
    </row>
    <row r="40" spans="1:8">
      <c r="A40" s="8" t="s">
        <v>27</v>
      </c>
      <c r="B40" s="19">
        <v>36</v>
      </c>
      <c r="C40" s="5" t="s">
        <v>82</v>
      </c>
      <c r="D40" s="22">
        <v>46270</v>
      </c>
      <c r="E40" s="5" t="s">
        <v>49</v>
      </c>
      <c r="F40" s="5" t="s">
        <v>33</v>
      </c>
      <c r="G40" s="5">
        <v>12070</v>
      </c>
      <c r="H40" s="5">
        <v>5</v>
      </c>
    </row>
    <row r="41" spans="1:8">
      <c r="A41" s="8" t="s">
        <v>27</v>
      </c>
      <c r="B41" s="19">
        <v>37</v>
      </c>
      <c r="C41" s="5" t="s">
        <v>83</v>
      </c>
      <c r="D41" s="22">
        <v>46289</v>
      </c>
      <c r="E41" s="5" t="s">
        <v>39</v>
      </c>
      <c r="F41" s="5" t="s">
        <v>40</v>
      </c>
      <c r="G41" s="5">
        <v>1050</v>
      </c>
      <c r="H41" s="5"/>
    </row>
    <row r="42" spans="1:8">
      <c r="A42" s="8" t="s">
        <v>27</v>
      </c>
      <c r="B42" s="19">
        <v>38</v>
      </c>
      <c r="C42" s="5" t="s">
        <v>84</v>
      </c>
      <c r="D42" s="22">
        <v>46283</v>
      </c>
      <c r="E42" s="5" t="s">
        <v>42</v>
      </c>
      <c r="F42" s="5" t="s">
        <v>33</v>
      </c>
      <c r="G42" s="5">
        <v>12099</v>
      </c>
      <c r="H42" s="5">
        <v>10</v>
      </c>
    </row>
    <row r="43" spans="1:8">
      <c r="A43" s="8" t="s">
        <v>27</v>
      </c>
      <c r="B43" s="19">
        <v>39</v>
      </c>
      <c r="C43" s="5" t="s">
        <v>85</v>
      </c>
      <c r="D43" s="22">
        <v>46280</v>
      </c>
      <c r="E43" s="5" t="s">
        <v>59</v>
      </c>
      <c r="F43" s="5" t="s">
        <v>40</v>
      </c>
      <c r="G43" s="5">
        <v>7521</v>
      </c>
      <c r="H43" s="5"/>
    </row>
    <row r="44" spans="1:8">
      <c r="A44" s="8" t="s">
        <v>27</v>
      </c>
      <c r="B44" s="19">
        <v>40</v>
      </c>
      <c r="C44" s="5" t="s">
        <v>86</v>
      </c>
      <c r="D44" s="22">
        <v>46275</v>
      </c>
      <c r="E44" s="5" t="s">
        <v>65</v>
      </c>
      <c r="F44" s="5" t="s">
        <v>40</v>
      </c>
      <c r="G44" s="5">
        <v>2523</v>
      </c>
      <c r="H44" s="5"/>
    </row>
    <row r="45" spans="1:8">
      <c r="A45" s="8" t="s">
        <v>27</v>
      </c>
      <c r="B45" s="19">
        <v>41</v>
      </c>
      <c r="C45" s="5" t="s">
        <v>87</v>
      </c>
      <c r="D45" s="22">
        <v>46275</v>
      </c>
      <c r="E45" s="5" t="s">
        <v>32</v>
      </c>
      <c r="F45" s="5" t="s">
        <v>33</v>
      </c>
      <c r="G45" s="5">
        <v>1503</v>
      </c>
      <c r="H45" s="5">
        <v>10</v>
      </c>
    </row>
    <row r="46" spans="1:8">
      <c r="A46" s="8" t="s">
        <v>27</v>
      </c>
      <c r="B46" s="19">
        <v>42</v>
      </c>
      <c r="C46" s="5" t="s">
        <v>88</v>
      </c>
      <c r="D46" s="22">
        <v>46278</v>
      </c>
      <c r="E46" s="5" t="s">
        <v>62</v>
      </c>
      <c r="F46" s="5" t="s">
        <v>33</v>
      </c>
      <c r="G46" s="5">
        <v>2525</v>
      </c>
      <c r="H46" s="5"/>
    </row>
    <row r="47" spans="1:8">
      <c r="A47" s="8" t="s">
        <v>27</v>
      </c>
      <c r="B47" s="19">
        <v>43</v>
      </c>
      <c r="C47" s="5"/>
      <c r="D47" s="22">
        <v>46273</v>
      </c>
      <c r="E47" s="5" t="s">
        <v>39</v>
      </c>
      <c r="F47" s="5" t="s">
        <v>40</v>
      </c>
      <c r="G47" s="5">
        <v>562</v>
      </c>
      <c r="H47" s="5">
        <v>5</v>
      </c>
    </row>
    <row r="48" spans="1:8">
      <c r="A48" s="8" t="s">
        <v>27</v>
      </c>
      <c r="B48" s="19">
        <v>44</v>
      </c>
      <c r="C48" s="5" t="s">
        <v>91</v>
      </c>
      <c r="D48" s="22">
        <v>46270</v>
      </c>
      <c r="E48" s="5" t="s">
        <v>59</v>
      </c>
      <c r="F48" s="5" t="s">
        <v>33</v>
      </c>
      <c r="G48" s="5">
        <v>519</v>
      </c>
      <c r="H48" s="5"/>
    </row>
    <row r="49" spans="1:8">
      <c r="A49" s="8" t="s">
        <v>27</v>
      </c>
      <c r="B49" s="19">
        <v>45</v>
      </c>
      <c r="C49" s="5" t="s">
        <v>92</v>
      </c>
      <c r="D49" s="22">
        <v>46291</v>
      </c>
      <c r="E49" s="5" t="s">
        <v>47</v>
      </c>
      <c r="F49" s="5" t="s">
        <v>33</v>
      </c>
      <c r="G49" s="5">
        <v>4060</v>
      </c>
      <c r="H49" s="5">
        <v>15</v>
      </c>
    </row>
    <row r="50" spans="1:8">
      <c r="A50" s="8" t="s">
        <v>27</v>
      </c>
      <c r="B50" s="19">
        <v>46</v>
      </c>
      <c r="C50" s="5" t="s">
        <v>93</v>
      </c>
      <c r="D50" s="22">
        <v>46273</v>
      </c>
      <c r="E50" s="5" t="s">
        <v>65</v>
      </c>
      <c r="F50" s="5" t="s">
        <v>40</v>
      </c>
      <c r="G50" s="5">
        <v>4071</v>
      </c>
      <c r="H50" s="5">
        <v>10</v>
      </c>
    </row>
    <row r="51" spans="1:8">
      <c r="A51" s="8" t="s">
        <v>27</v>
      </c>
      <c r="B51" s="19">
        <v>47</v>
      </c>
      <c r="C51" s="5" t="s">
        <v>94</v>
      </c>
      <c r="D51" s="22">
        <v>46277</v>
      </c>
      <c r="E51" s="5" t="s">
        <v>42</v>
      </c>
      <c r="F51" s="5" t="s">
        <v>40</v>
      </c>
      <c r="G51" s="5">
        <v>509</v>
      </c>
      <c r="H51" s="5">
        <v>10</v>
      </c>
    </row>
    <row r="52" spans="1:8">
      <c r="A52" s="8" t="s">
        <v>27</v>
      </c>
      <c r="B52" s="19">
        <v>48</v>
      </c>
      <c r="C52" s="5" t="s">
        <v>95</v>
      </c>
      <c r="D52" s="22">
        <v>46279</v>
      </c>
      <c r="E52" s="5" t="s">
        <v>45</v>
      </c>
      <c r="F52" s="5" t="s">
        <v>33</v>
      </c>
      <c r="G52" s="14">
        <v>912.75</v>
      </c>
      <c r="H52" s="5"/>
    </row>
    <row r="53" spans="1:8">
      <c r="A53" s="8" t="s">
        <v>27</v>
      </c>
      <c r="B53" s="19">
        <v>49</v>
      </c>
      <c r="C53" s="5" t="s">
        <v>96</v>
      </c>
      <c r="D53" s="22">
        <v>46280</v>
      </c>
      <c r="E53" s="5" t="s">
        <v>39</v>
      </c>
      <c r="F53" s="5" t="s">
        <v>33</v>
      </c>
      <c r="G53" s="5">
        <v>12064</v>
      </c>
      <c r="H53" s="5">
        <v>15</v>
      </c>
    </row>
    <row r="54" spans="1:8">
      <c r="A54" s="8" t="s">
        <v>27</v>
      </c>
      <c r="B54" s="19">
        <v>50</v>
      </c>
      <c r="C54" s="5" t="s">
        <v>97</v>
      </c>
      <c r="D54" s="22">
        <v>46266</v>
      </c>
      <c r="E54" s="5" t="s">
        <v>47</v>
      </c>
      <c r="F54" s="5" t="s">
        <v>33</v>
      </c>
      <c r="G54" s="5">
        <v>2567</v>
      </c>
      <c r="H54" s="5">
        <v>15</v>
      </c>
    </row>
    <row r="55" spans="1:8">
      <c r="A55" s="8" t="s">
        <v>27</v>
      </c>
      <c r="B55" s="19">
        <v>51</v>
      </c>
      <c r="C55" s="5" t="s">
        <v>98</v>
      </c>
      <c r="D55" s="22">
        <v>46266</v>
      </c>
      <c r="E55" s="5" t="s">
        <v>47</v>
      </c>
      <c r="F55" s="5" t="s">
        <v>40</v>
      </c>
      <c r="G55" s="5">
        <v>4082</v>
      </c>
      <c r="H55" s="5">
        <v>5</v>
      </c>
    </row>
    <row r="56" spans="1:8">
      <c r="A56" s="8" t="s">
        <v>27</v>
      </c>
      <c r="B56" s="19">
        <v>52</v>
      </c>
      <c r="C56" s="5" t="s">
        <v>99</v>
      </c>
      <c r="D56" s="22">
        <v>46272</v>
      </c>
      <c r="E56" s="5" t="s">
        <v>42</v>
      </c>
      <c r="F56" s="5" t="s">
        <v>33</v>
      </c>
      <c r="G56" s="5">
        <v>7526</v>
      </c>
      <c r="H56" s="5"/>
    </row>
    <row r="57" spans="1:8">
      <c r="A57" s="8" t="s">
        <v>27</v>
      </c>
      <c r="B57" s="19">
        <v>53</v>
      </c>
      <c r="C57" s="5" t="s">
        <v>100</v>
      </c>
      <c r="D57" s="22">
        <v>46278</v>
      </c>
      <c r="E57" s="5" t="s">
        <v>32</v>
      </c>
      <c r="F57" s="5" t="s">
        <v>33</v>
      </c>
      <c r="G57" s="5">
        <v>12050</v>
      </c>
      <c r="H57" s="5">
        <v>10</v>
      </c>
    </row>
    <row r="58" spans="1:8">
      <c r="A58" s="8" t="s">
        <v>27</v>
      </c>
      <c r="B58" s="19">
        <v>54</v>
      </c>
      <c r="C58" s="5" t="s">
        <v>101</v>
      </c>
      <c r="D58" s="22">
        <v>46284</v>
      </c>
      <c r="E58" s="5" t="s">
        <v>45</v>
      </c>
      <c r="F58" s="5" t="s">
        <v>33</v>
      </c>
      <c r="G58" s="14">
        <v>564.004</v>
      </c>
      <c r="H58" s="5">
        <v>10</v>
      </c>
    </row>
    <row r="59" spans="1:8">
      <c r="A59" s="8" t="s">
        <v>27</v>
      </c>
      <c r="B59" s="19">
        <v>55</v>
      </c>
      <c r="C59" s="5"/>
      <c r="D59" s="22">
        <v>46267</v>
      </c>
      <c r="E59" s="5" t="s">
        <v>37</v>
      </c>
      <c r="F59" s="5" t="s">
        <v>33</v>
      </c>
      <c r="G59" s="5">
        <v>1000</v>
      </c>
      <c r="H59" s="5"/>
    </row>
    <row r="60" spans="1:8">
      <c r="A60" s="8" t="s">
        <v>27</v>
      </c>
      <c r="B60" s="19">
        <v>56</v>
      </c>
      <c r="C60" s="5" t="s">
        <v>102</v>
      </c>
      <c r="D60" s="22">
        <v>46266</v>
      </c>
      <c r="E60" s="5" t="s">
        <v>71</v>
      </c>
      <c r="F60" s="5" t="s">
        <v>33</v>
      </c>
      <c r="G60" s="5">
        <v>25099</v>
      </c>
      <c r="H60" s="5"/>
    </row>
    <row r="61" spans="1:8">
      <c r="A61" s="8" t="s">
        <v>27</v>
      </c>
      <c r="B61" s="19">
        <v>57</v>
      </c>
      <c r="C61" s="5" t="s">
        <v>103</v>
      </c>
      <c r="D61" s="22">
        <v>46269</v>
      </c>
      <c r="E61" s="5" t="s">
        <v>65</v>
      </c>
      <c r="F61" s="5" t="s">
        <v>33</v>
      </c>
      <c r="G61" s="5">
        <v>1072</v>
      </c>
      <c r="H61" s="5">
        <v>10</v>
      </c>
    </row>
    <row r="62" spans="1:8">
      <c r="A62" s="8" t="s">
        <v>27</v>
      </c>
      <c r="B62" s="19">
        <v>58</v>
      </c>
      <c r="C62" s="5" t="s">
        <v>104</v>
      </c>
      <c r="D62" s="22">
        <v>46270</v>
      </c>
      <c r="E62" s="5" t="s">
        <v>32</v>
      </c>
      <c r="F62" s="5" t="s">
        <v>40</v>
      </c>
      <c r="G62" s="5">
        <v>548</v>
      </c>
      <c r="H62" s="5">
        <v>10</v>
      </c>
    </row>
    <row r="63" spans="1:8">
      <c r="A63" s="8" t="s">
        <v>27</v>
      </c>
      <c r="B63" s="19">
        <v>59</v>
      </c>
      <c r="C63" s="5" t="s">
        <v>105</v>
      </c>
      <c r="D63" s="22">
        <v>46272</v>
      </c>
      <c r="E63" s="5" t="s">
        <v>45</v>
      </c>
      <c r="F63" s="5" t="s">
        <v>33</v>
      </c>
      <c r="G63" s="5">
        <v>1026</v>
      </c>
      <c r="H63" s="5">
        <v>5</v>
      </c>
    </row>
  </sheetData>
  <autoFilter ref="A4:H6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3"/>
  <sheetViews>
    <sheetView showGridLines="0" rightToLeft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2" width="20.7109375" customWidth="1"/>
    <col min="3" max="3" width="15.7109375" customWidth="1"/>
    <col min="4" max="4" width="16.7109375" customWidth="1"/>
    <col min="5" max="5" width="17.7109375" customWidth="1"/>
    <col min="6" max="6" width="14.7109375" customWidth="1"/>
    <col min="7" max="7" width="12.7109375" customWidth="1"/>
    <col min="8" max="8" width="16.7109375" customWidth="1"/>
  </cols>
  <sheetData>
    <row r="1" spans="1:8">
      <c r="A1" s="1" t="s">
        <v>124</v>
      </c>
    </row>
    <row r="2" spans="1:8">
      <c r="A2" s="2" t="s">
        <v>115</v>
      </c>
    </row>
    <row r="4" spans="1:8">
      <c r="A4" s="16" t="s">
        <v>116</v>
      </c>
      <c r="B4" s="16" t="s">
        <v>117</v>
      </c>
      <c r="C4" s="7" t="s">
        <v>118</v>
      </c>
      <c r="D4" s="7" t="s">
        <v>119</v>
      </c>
      <c r="E4" s="7" t="s">
        <v>120</v>
      </c>
      <c r="F4" s="7" t="s">
        <v>121</v>
      </c>
      <c r="G4" s="7" t="s">
        <v>122</v>
      </c>
      <c r="H4" s="7" t="s">
        <v>123</v>
      </c>
    </row>
    <row r="5" spans="1:8">
      <c r="A5" s="8" t="s">
        <v>27</v>
      </c>
      <c r="B5" s="19">
        <v>1</v>
      </c>
      <c r="C5" s="5" t="s">
        <v>31</v>
      </c>
      <c r="D5" s="22">
        <v>46286</v>
      </c>
      <c r="E5" s="5" t="s">
        <v>32</v>
      </c>
      <c r="F5" s="5" t="s">
        <v>33</v>
      </c>
      <c r="G5" s="5">
        <v>7582</v>
      </c>
      <c r="H5" s="5"/>
    </row>
    <row r="6" spans="1:8">
      <c r="A6" s="8" t="s">
        <v>27</v>
      </c>
      <c r="B6" s="19">
        <v>2</v>
      </c>
      <c r="C6" s="5" t="s">
        <v>36</v>
      </c>
      <c r="D6" s="22">
        <v>46283</v>
      </c>
      <c r="E6" s="5" t="s">
        <v>37</v>
      </c>
      <c r="F6" s="5" t="s">
        <v>33</v>
      </c>
      <c r="G6" s="5">
        <v>1537</v>
      </c>
      <c r="H6" s="5"/>
    </row>
    <row r="7" spans="1:8">
      <c r="A7" s="8" t="s">
        <v>27</v>
      </c>
      <c r="B7" s="19">
        <v>3</v>
      </c>
      <c r="C7" s="5" t="s">
        <v>38</v>
      </c>
      <c r="D7" s="22">
        <v>46278</v>
      </c>
      <c r="E7" s="5" t="s">
        <v>39</v>
      </c>
      <c r="F7" s="5" t="s">
        <v>40</v>
      </c>
      <c r="G7" s="5">
        <v>12021</v>
      </c>
      <c r="H7" s="5">
        <v>10</v>
      </c>
    </row>
    <row r="8" spans="1:8">
      <c r="A8" s="8" t="s">
        <v>27</v>
      </c>
      <c r="B8" s="19">
        <v>4</v>
      </c>
      <c r="C8" s="5" t="s">
        <v>41</v>
      </c>
      <c r="D8" s="22">
        <v>46274</v>
      </c>
      <c r="E8" s="5" t="s">
        <v>42</v>
      </c>
      <c r="F8" s="5" t="s">
        <v>33</v>
      </c>
      <c r="G8" s="5">
        <v>25370</v>
      </c>
      <c r="H8" s="5">
        <v>5</v>
      </c>
    </row>
    <row r="9" spans="1:8">
      <c r="A9" s="8" t="s">
        <v>27</v>
      </c>
      <c r="B9" s="19">
        <v>5</v>
      </c>
      <c r="C9" s="5" t="s">
        <v>43</v>
      </c>
      <c r="D9" s="22">
        <v>46272</v>
      </c>
      <c r="E9" s="5" t="s">
        <v>37</v>
      </c>
      <c r="F9" s="5" t="s">
        <v>40</v>
      </c>
      <c r="G9" s="5">
        <v>4005</v>
      </c>
      <c r="H9" s="5">
        <v>10</v>
      </c>
    </row>
    <row r="10" spans="1:8">
      <c r="A10" s="8" t="s">
        <v>27</v>
      </c>
      <c r="B10" s="19">
        <v>6</v>
      </c>
      <c r="C10" s="5" t="s">
        <v>44</v>
      </c>
      <c r="D10" s="22">
        <v>46291</v>
      </c>
      <c r="E10" s="5" t="s">
        <v>45</v>
      </c>
      <c r="F10" s="5" t="s">
        <v>33</v>
      </c>
      <c r="G10" s="5">
        <v>12095</v>
      </c>
      <c r="H10" s="5"/>
    </row>
    <row r="11" spans="1:8">
      <c r="A11" s="8" t="s">
        <v>27</v>
      </c>
      <c r="B11" s="19">
        <v>7</v>
      </c>
      <c r="C11" s="5" t="s">
        <v>46</v>
      </c>
      <c r="D11" s="22">
        <v>46269</v>
      </c>
      <c r="E11" s="5" t="s">
        <v>47</v>
      </c>
      <c r="F11" s="5" t="s">
        <v>33</v>
      </c>
      <c r="G11" s="5">
        <v>7594</v>
      </c>
      <c r="H11" s="5"/>
    </row>
    <row r="12" spans="1:8">
      <c r="A12" s="8" t="s">
        <v>27</v>
      </c>
      <c r="B12" s="19">
        <v>8</v>
      </c>
      <c r="C12" s="5" t="s">
        <v>48</v>
      </c>
      <c r="D12" s="22">
        <v>46288</v>
      </c>
      <c r="E12" s="5" t="s">
        <v>49</v>
      </c>
      <c r="F12" s="5" t="s">
        <v>33</v>
      </c>
      <c r="G12" s="5">
        <v>12065</v>
      </c>
      <c r="H12" s="5"/>
    </row>
    <row r="13" spans="1:8">
      <c r="A13" s="8" t="s">
        <v>27</v>
      </c>
      <c r="B13" s="19">
        <v>9</v>
      </c>
      <c r="C13" s="5" t="s">
        <v>50</v>
      </c>
      <c r="D13" s="22">
        <v>46270</v>
      </c>
      <c r="E13" s="5" t="s">
        <v>37</v>
      </c>
      <c r="F13" s="5" t="s">
        <v>33</v>
      </c>
      <c r="G13" s="5">
        <v>12083</v>
      </c>
      <c r="H13" s="5"/>
    </row>
    <row r="14" spans="1:8">
      <c r="A14" s="8" t="s">
        <v>27</v>
      </c>
      <c r="B14" s="19">
        <v>10</v>
      </c>
      <c r="C14" s="5" t="s">
        <v>51</v>
      </c>
      <c r="D14" s="22">
        <v>46268</v>
      </c>
      <c r="E14" s="5" t="s">
        <v>45</v>
      </c>
      <c r="F14" s="5" t="s">
        <v>33</v>
      </c>
      <c r="G14" s="5">
        <v>2585</v>
      </c>
      <c r="H14" s="5"/>
    </row>
    <row r="15" spans="1:8">
      <c r="A15" s="8" t="s">
        <v>27</v>
      </c>
      <c r="B15" s="19">
        <v>11</v>
      </c>
      <c r="C15" s="5" t="s">
        <v>52</v>
      </c>
      <c r="D15" s="22">
        <v>46266</v>
      </c>
      <c r="E15" s="5" t="s">
        <v>42</v>
      </c>
      <c r="F15" s="5" t="s">
        <v>33</v>
      </c>
      <c r="G15" s="5">
        <v>1553</v>
      </c>
      <c r="H15" s="5">
        <v>15</v>
      </c>
    </row>
    <row r="16" spans="1:8">
      <c r="A16" s="8" t="s">
        <v>27</v>
      </c>
      <c r="B16" s="19">
        <v>12</v>
      </c>
      <c r="C16" s="5" t="s">
        <v>53</v>
      </c>
      <c r="D16" s="22">
        <v>46278</v>
      </c>
      <c r="E16" s="5" t="s">
        <v>49</v>
      </c>
      <c r="F16" s="5" t="s">
        <v>40</v>
      </c>
      <c r="G16" s="5">
        <v>2561</v>
      </c>
      <c r="H16" s="5">
        <v>5</v>
      </c>
    </row>
    <row r="17" spans="1:8">
      <c r="A17" s="8" t="s">
        <v>27</v>
      </c>
      <c r="B17" s="19">
        <v>13</v>
      </c>
      <c r="C17" s="5" t="s">
        <v>54</v>
      </c>
      <c r="D17" s="22">
        <v>46287</v>
      </c>
      <c r="E17" s="5" t="s">
        <v>37</v>
      </c>
      <c r="F17" s="5" t="s">
        <v>33</v>
      </c>
      <c r="G17" s="5">
        <v>25099</v>
      </c>
      <c r="H17" s="5"/>
    </row>
    <row r="18" spans="1:8">
      <c r="A18" s="8" t="s">
        <v>27</v>
      </c>
      <c r="B18" s="19">
        <v>14</v>
      </c>
      <c r="C18" s="5" t="s">
        <v>55</v>
      </c>
      <c r="D18" s="22">
        <v>46270</v>
      </c>
      <c r="E18" s="5" t="s">
        <v>47</v>
      </c>
      <c r="F18" s="5" t="s">
        <v>40</v>
      </c>
      <c r="G18" s="5">
        <v>501</v>
      </c>
      <c r="H18" s="5"/>
    </row>
    <row r="19" spans="1:8">
      <c r="A19" s="8" t="s">
        <v>27</v>
      </c>
      <c r="B19" s="19">
        <v>15</v>
      </c>
      <c r="C19" s="5" t="s">
        <v>56</v>
      </c>
      <c r="D19" s="22">
        <v>46277</v>
      </c>
      <c r="E19" s="5" t="s">
        <v>37</v>
      </c>
      <c r="F19" s="5" t="s">
        <v>40</v>
      </c>
      <c r="G19" s="5">
        <v>1545</v>
      </c>
      <c r="H19" s="5">
        <v>15</v>
      </c>
    </row>
    <row r="20" spans="1:8">
      <c r="A20" s="8" t="s">
        <v>27</v>
      </c>
      <c r="B20" s="19">
        <v>16</v>
      </c>
      <c r="C20" s="5" t="s">
        <v>57</v>
      </c>
      <c r="D20" s="22">
        <v>46270</v>
      </c>
      <c r="E20" s="5" t="s">
        <v>37</v>
      </c>
      <c r="F20" s="5" t="s">
        <v>40</v>
      </c>
      <c r="G20" s="5">
        <v>25079</v>
      </c>
      <c r="H20" s="5"/>
    </row>
    <row r="21" spans="1:8">
      <c r="A21" s="8" t="s">
        <v>27</v>
      </c>
      <c r="B21" s="19">
        <v>17</v>
      </c>
      <c r="C21" s="5" t="s">
        <v>58</v>
      </c>
      <c r="D21" s="22">
        <v>46286</v>
      </c>
      <c r="E21" s="5" t="s">
        <v>59</v>
      </c>
      <c r="F21" s="5" t="s">
        <v>40</v>
      </c>
      <c r="G21" s="5">
        <v>4044</v>
      </c>
      <c r="H21" s="5"/>
    </row>
    <row r="22" spans="1:8">
      <c r="A22" s="8" t="s">
        <v>27</v>
      </c>
      <c r="B22" s="19">
        <v>18</v>
      </c>
      <c r="C22" s="5" t="s">
        <v>60</v>
      </c>
      <c r="D22" s="22">
        <v>46283</v>
      </c>
      <c r="E22" s="5" t="s">
        <v>47</v>
      </c>
      <c r="F22" s="5" t="s">
        <v>33</v>
      </c>
      <c r="G22" s="5">
        <v>12016</v>
      </c>
      <c r="H22" s="5">
        <v>5</v>
      </c>
    </row>
    <row r="23" spans="1:8">
      <c r="A23" s="8" t="s">
        <v>27</v>
      </c>
      <c r="B23" s="19">
        <v>19</v>
      </c>
      <c r="C23" s="5" t="s">
        <v>61</v>
      </c>
      <c r="D23" s="22">
        <v>46267</v>
      </c>
      <c r="E23" s="5" t="s">
        <v>62</v>
      </c>
      <c r="F23" s="5" t="s">
        <v>33</v>
      </c>
      <c r="G23" s="5">
        <v>1097</v>
      </c>
      <c r="H23" s="5">
        <v>5</v>
      </c>
    </row>
    <row r="24" spans="1:8">
      <c r="A24" s="8" t="s">
        <v>27</v>
      </c>
      <c r="B24" s="19">
        <v>20</v>
      </c>
      <c r="C24" s="5" t="s">
        <v>63</v>
      </c>
      <c r="D24" s="22">
        <v>46290</v>
      </c>
      <c r="E24" s="5" t="s">
        <v>49</v>
      </c>
      <c r="F24" s="5" t="s">
        <v>40</v>
      </c>
      <c r="G24" s="5">
        <v>4016</v>
      </c>
      <c r="H24" s="5">
        <v>10</v>
      </c>
    </row>
    <row r="25" spans="1:8">
      <c r="A25" s="8" t="s">
        <v>27</v>
      </c>
      <c r="B25" s="19">
        <v>21</v>
      </c>
      <c r="C25" s="5" t="s">
        <v>64</v>
      </c>
      <c r="D25" s="22">
        <v>46289</v>
      </c>
      <c r="E25" s="5" t="s">
        <v>65</v>
      </c>
      <c r="F25" s="5" t="s">
        <v>66</v>
      </c>
      <c r="G25" s="5">
        <v>1555</v>
      </c>
      <c r="H25" s="5"/>
    </row>
    <row r="26" spans="1:8">
      <c r="A26" s="8" t="s">
        <v>27</v>
      </c>
      <c r="B26" s="19">
        <v>22</v>
      </c>
      <c r="C26" s="5" t="s">
        <v>67</v>
      </c>
      <c r="D26" s="22">
        <v>46272</v>
      </c>
      <c r="E26" s="5" t="s">
        <v>59</v>
      </c>
      <c r="F26" s="5" t="s">
        <v>33</v>
      </c>
      <c r="G26" s="5">
        <v>4057</v>
      </c>
      <c r="H26" s="5">
        <v>15</v>
      </c>
    </row>
    <row r="27" spans="1:8">
      <c r="A27" s="8" t="s">
        <v>27</v>
      </c>
      <c r="B27" s="19">
        <v>23</v>
      </c>
      <c r="C27" s="5" t="s">
        <v>68</v>
      </c>
      <c r="D27" s="22">
        <v>46282</v>
      </c>
      <c r="E27" s="5" t="s">
        <v>65</v>
      </c>
      <c r="F27" s="5" t="s">
        <v>33</v>
      </c>
      <c r="G27" s="5">
        <v>7581</v>
      </c>
      <c r="H27" s="5"/>
    </row>
    <row r="28" spans="1:8">
      <c r="A28" s="8" t="s">
        <v>27</v>
      </c>
      <c r="B28" s="19">
        <v>24</v>
      </c>
      <c r="C28" s="5" t="s">
        <v>69</v>
      </c>
      <c r="D28" s="22">
        <v>46266</v>
      </c>
      <c r="E28" s="5" t="s">
        <v>37</v>
      </c>
      <c r="F28" s="5" t="s">
        <v>33</v>
      </c>
      <c r="G28" s="5">
        <v>1056</v>
      </c>
      <c r="H28" s="5">
        <v>15</v>
      </c>
    </row>
    <row r="29" spans="1:8">
      <c r="A29" s="8" t="s">
        <v>27</v>
      </c>
      <c r="B29" s="19">
        <v>25</v>
      </c>
      <c r="C29" s="5" t="s">
        <v>70</v>
      </c>
      <c r="D29" s="22">
        <v>46274</v>
      </c>
      <c r="E29" s="5" t="s">
        <v>71</v>
      </c>
      <c r="F29" s="5" t="s">
        <v>40</v>
      </c>
      <c r="G29" s="5">
        <v>25089</v>
      </c>
      <c r="H29" s="5">
        <v>5</v>
      </c>
    </row>
    <row r="30" spans="1:8">
      <c r="A30" s="8" t="s">
        <v>27</v>
      </c>
      <c r="B30" s="19">
        <v>26</v>
      </c>
      <c r="C30" s="5" t="s">
        <v>72</v>
      </c>
      <c r="D30" s="22">
        <v>46275</v>
      </c>
      <c r="E30" s="5" t="s">
        <v>73</v>
      </c>
      <c r="F30" s="5" t="s">
        <v>40</v>
      </c>
      <c r="G30" s="5">
        <v>25043</v>
      </c>
      <c r="H30" s="5">
        <v>15</v>
      </c>
    </row>
    <row r="31" spans="1:8">
      <c r="A31" s="8" t="s">
        <v>27</v>
      </c>
      <c r="B31" s="19">
        <v>27</v>
      </c>
      <c r="C31" s="5" t="s">
        <v>54</v>
      </c>
      <c r="D31" s="22">
        <v>46287</v>
      </c>
      <c r="E31" s="5" t="s">
        <v>37</v>
      </c>
      <c r="F31" s="5" t="s">
        <v>33</v>
      </c>
      <c r="G31" s="5">
        <v>25099</v>
      </c>
      <c r="H31" s="5"/>
    </row>
    <row r="32" spans="1:8">
      <c r="A32" s="8" t="s">
        <v>27</v>
      </c>
      <c r="B32" s="19">
        <v>28</v>
      </c>
      <c r="C32" s="5" t="s">
        <v>74</v>
      </c>
      <c r="D32" s="22">
        <v>46284</v>
      </c>
      <c r="E32" s="5" t="s">
        <v>32</v>
      </c>
      <c r="F32" s="5" t="s">
        <v>33</v>
      </c>
      <c r="G32" s="5">
        <v>25036</v>
      </c>
      <c r="H32" s="5">
        <v>5</v>
      </c>
    </row>
    <row r="33" spans="1:8">
      <c r="A33" s="8" t="s">
        <v>27</v>
      </c>
      <c r="B33" s="19">
        <v>29</v>
      </c>
      <c r="C33" s="5" t="s">
        <v>75</v>
      </c>
      <c r="D33" s="22">
        <v>46293</v>
      </c>
      <c r="E33" s="5" t="s">
        <v>73</v>
      </c>
      <c r="F33" s="5" t="s">
        <v>33</v>
      </c>
      <c r="G33" s="5">
        <v>25059</v>
      </c>
      <c r="H33" s="5"/>
    </row>
    <row r="34" spans="1:8">
      <c r="A34" s="8" t="s">
        <v>27</v>
      </c>
      <c r="B34" s="19">
        <v>30</v>
      </c>
      <c r="C34" s="5" t="s">
        <v>76</v>
      </c>
      <c r="D34" s="22">
        <v>46292</v>
      </c>
      <c r="E34" s="5" t="s">
        <v>39</v>
      </c>
      <c r="F34" s="5" t="s">
        <v>66</v>
      </c>
      <c r="G34" s="5">
        <v>25084</v>
      </c>
      <c r="H34" s="5">
        <v>15</v>
      </c>
    </row>
    <row r="35" spans="1:8">
      <c r="A35" s="8" t="s">
        <v>27</v>
      </c>
      <c r="B35" s="19">
        <v>31</v>
      </c>
      <c r="C35" s="5" t="s">
        <v>77</v>
      </c>
      <c r="D35" s="22">
        <v>46288</v>
      </c>
      <c r="E35" s="5" t="s">
        <v>39</v>
      </c>
      <c r="F35" s="5" t="s">
        <v>33</v>
      </c>
      <c r="G35" s="5">
        <v>7518</v>
      </c>
      <c r="H35" s="5">
        <v>10</v>
      </c>
    </row>
    <row r="36" spans="1:8">
      <c r="A36" s="8" t="s">
        <v>27</v>
      </c>
      <c r="B36" s="19">
        <v>32</v>
      </c>
      <c r="C36" s="5" t="s">
        <v>78</v>
      </c>
      <c r="D36" s="22">
        <v>46280</v>
      </c>
      <c r="E36" s="5" t="s">
        <v>45</v>
      </c>
      <c r="F36" s="5" t="s">
        <v>33</v>
      </c>
      <c r="G36" s="5">
        <v>7546</v>
      </c>
      <c r="H36" s="5"/>
    </row>
    <row r="37" spans="1:8">
      <c r="A37" s="8" t="s">
        <v>27</v>
      </c>
      <c r="B37" s="19">
        <v>33</v>
      </c>
      <c r="C37" s="5" t="s">
        <v>79</v>
      </c>
      <c r="D37" s="22">
        <v>46277</v>
      </c>
      <c r="E37" s="5" t="s">
        <v>45</v>
      </c>
      <c r="F37" s="5" t="s">
        <v>40</v>
      </c>
      <c r="G37" s="5">
        <v>25064</v>
      </c>
      <c r="H37" s="5">
        <v>10</v>
      </c>
    </row>
    <row r="38" spans="1:8">
      <c r="A38" s="8" t="s">
        <v>27</v>
      </c>
      <c r="B38" s="19">
        <v>34</v>
      </c>
      <c r="C38" s="5" t="s">
        <v>80</v>
      </c>
      <c r="D38" s="22">
        <v>46268</v>
      </c>
      <c r="E38" s="5" t="s">
        <v>71</v>
      </c>
      <c r="F38" s="5" t="s">
        <v>33</v>
      </c>
      <c r="G38" s="5">
        <v>2511</v>
      </c>
      <c r="H38" s="5">
        <v>15</v>
      </c>
    </row>
    <row r="39" spans="1:8">
      <c r="A39" s="8" t="s">
        <v>27</v>
      </c>
      <c r="B39" s="19">
        <v>35</v>
      </c>
      <c r="C39" s="5" t="s">
        <v>81</v>
      </c>
      <c r="D39" s="22">
        <v>46278</v>
      </c>
      <c r="E39" s="5" t="s">
        <v>39</v>
      </c>
      <c r="F39" s="5" t="s">
        <v>33</v>
      </c>
      <c r="G39" s="5">
        <v>2519</v>
      </c>
      <c r="H39" s="5"/>
    </row>
    <row r="40" spans="1:8">
      <c r="A40" s="8" t="s">
        <v>27</v>
      </c>
      <c r="B40" s="19">
        <v>36</v>
      </c>
      <c r="C40" s="5" t="s">
        <v>82</v>
      </c>
      <c r="D40" s="22">
        <v>46270</v>
      </c>
      <c r="E40" s="5" t="s">
        <v>49</v>
      </c>
      <c r="F40" s="5" t="s">
        <v>33</v>
      </c>
      <c r="G40" s="5">
        <v>12070</v>
      </c>
      <c r="H40" s="5">
        <v>5</v>
      </c>
    </row>
    <row r="41" spans="1:8">
      <c r="A41" s="8" t="s">
        <v>27</v>
      </c>
      <c r="B41" s="19">
        <v>37</v>
      </c>
      <c r="C41" s="5" t="s">
        <v>83</v>
      </c>
      <c r="D41" s="22">
        <v>46289</v>
      </c>
      <c r="E41" s="5" t="s">
        <v>39</v>
      </c>
      <c r="F41" s="5" t="s">
        <v>40</v>
      </c>
      <c r="G41" s="5">
        <v>1050</v>
      </c>
      <c r="H41" s="5"/>
    </row>
    <row r="42" spans="1:8">
      <c r="A42" s="8" t="s">
        <v>27</v>
      </c>
      <c r="B42" s="19">
        <v>38</v>
      </c>
      <c r="C42" s="5" t="s">
        <v>84</v>
      </c>
      <c r="D42" s="22">
        <v>46283</v>
      </c>
      <c r="E42" s="5" t="s">
        <v>42</v>
      </c>
      <c r="F42" s="5" t="s">
        <v>33</v>
      </c>
      <c r="G42" s="5">
        <v>12099</v>
      </c>
      <c r="H42" s="5">
        <v>10</v>
      </c>
    </row>
    <row r="43" spans="1:8">
      <c r="A43" s="8" t="s">
        <v>27</v>
      </c>
      <c r="B43" s="19">
        <v>39</v>
      </c>
      <c r="C43" s="5" t="s">
        <v>85</v>
      </c>
      <c r="D43" s="22">
        <v>46280</v>
      </c>
      <c r="E43" s="5" t="s">
        <v>59</v>
      </c>
      <c r="F43" s="5" t="s">
        <v>40</v>
      </c>
      <c r="G43" s="5">
        <v>7521</v>
      </c>
      <c r="H43" s="5"/>
    </row>
    <row r="44" spans="1:8">
      <c r="A44" s="8" t="s">
        <v>27</v>
      </c>
      <c r="B44" s="19">
        <v>40</v>
      </c>
      <c r="C44" s="5" t="s">
        <v>86</v>
      </c>
      <c r="D44" s="22">
        <v>46275</v>
      </c>
      <c r="E44" s="5" t="s">
        <v>65</v>
      </c>
      <c r="F44" s="5" t="s">
        <v>40</v>
      </c>
      <c r="G44" s="5">
        <v>2523</v>
      </c>
      <c r="H44" s="5"/>
    </row>
    <row r="45" spans="1:8">
      <c r="A45" s="8" t="s">
        <v>27</v>
      </c>
      <c r="B45" s="19">
        <v>41</v>
      </c>
      <c r="C45" s="5" t="s">
        <v>87</v>
      </c>
      <c r="D45" s="22">
        <v>46275</v>
      </c>
      <c r="E45" s="5" t="s">
        <v>32</v>
      </c>
      <c r="F45" s="5" t="s">
        <v>33</v>
      </c>
      <c r="G45" s="5">
        <v>1503</v>
      </c>
      <c r="H45" s="5">
        <v>10</v>
      </c>
    </row>
    <row r="46" spans="1:8">
      <c r="A46" s="8" t="s">
        <v>27</v>
      </c>
      <c r="B46" s="19">
        <v>42</v>
      </c>
      <c r="C46" s="5" t="s">
        <v>88</v>
      </c>
      <c r="D46" s="22">
        <v>46278</v>
      </c>
      <c r="E46" s="5" t="s">
        <v>62</v>
      </c>
      <c r="F46" s="5" t="s">
        <v>33</v>
      </c>
      <c r="G46" s="5">
        <v>2525</v>
      </c>
      <c r="H46" s="5"/>
    </row>
    <row r="47" spans="1:8">
      <c r="A47" s="8" t="s">
        <v>27</v>
      </c>
      <c r="B47" s="19">
        <v>43</v>
      </c>
      <c r="C47" s="5"/>
      <c r="D47" s="22">
        <v>46273</v>
      </c>
      <c r="E47" s="5" t="s">
        <v>39</v>
      </c>
      <c r="F47" s="5" t="s">
        <v>40</v>
      </c>
      <c r="G47" s="5">
        <v>562</v>
      </c>
      <c r="H47" s="5">
        <v>5</v>
      </c>
    </row>
    <row r="48" spans="1:8">
      <c r="A48" s="8" t="s">
        <v>27</v>
      </c>
      <c r="B48" s="19">
        <v>44</v>
      </c>
      <c r="C48" s="5" t="s">
        <v>91</v>
      </c>
      <c r="D48" s="22">
        <v>46270</v>
      </c>
      <c r="E48" s="5" t="s">
        <v>59</v>
      </c>
      <c r="F48" s="5" t="s">
        <v>33</v>
      </c>
      <c r="G48" s="5">
        <v>519</v>
      </c>
      <c r="H48" s="5"/>
    </row>
    <row r="49" spans="1:8">
      <c r="A49" s="8" t="s">
        <v>27</v>
      </c>
      <c r="B49" s="19">
        <v>45</v>
      </c>
      <c r="C49" s="5" t="s">
        <v>92</v>
      </c>
      <c r="D49" s="22">
        <v>46291</v>
      </c>
      <c r="E49" s="5" t="s">
        <v>47</v>
      </c>
      <c r="F49" s="5" t="s">
        <v>33</v>
      </c>
      <c r="G49" s="5">
        <v>4060</v>
      </c>
      <c r="H49" s="5">
        <v>15</v>
      </c>
    </row>
    <row r="50" spans="1:8">
      <c r="A50" s="8" t="s">
        <v>27</v>
      </c>
      <c r="B50" s="19">
        <v>46</v>
      </c>
      <c r="C50" s="5" t="s">
        <v>93</v>
      </c>
      <c r="D50" s="22">
        <v>46273</v>
      </c>
      <c r="E50" s="5" t="s">
        <v>65</v>
      </c>
      <c r="F50" s="5" t="s">
        <v>40</v>
      </c>
      <c r="G50" s="5">
        <v>4071</v>
      </c>
      <c r="H50" s="5">
        <v>10</v>
      </c>
    </row>
    <row r="51" spans="1:8">
      <c r="A51" s="8" t="s">
        <v>27</v>
      </c>
      <c r="B51" s="19">
        <v>47</v>
      </c>
      <c r="C51" s="5" t="s">
        <v>94</v>
      </c>
      <c r="D51" s="22">
        <v>46277</v>
      </c>
      <c r="E51" s="5" t="s">
        <v>42</v>
      </c>
      <c r="F51" s="5" t="s">
        <v>40</v>
      </c>
      <c r="G51" s="5">
        <v>509</v>
      </c>
      <c r="H51" s="5">
        <v>10</v>
      </c>
    </row>
    <row r="52" spans="1:8">
      <c r="A52" s="8" t="s">
        <v>27</v>
      </c>
      <c r="B52" s="19">
        <v>48</v>
      </c>
      <c r="C52" s="5" t="s">
        <v>95</v>
      </c>
      <c r="D52" s="22">
        <v>46279</v>
      </c>
      <c r="E52" s="5" t="s">
        <v>45</v>
      </c>
      <c r="F52" s="5" t="s">
        <v>33</v>
      </c>
      <c r="G52" s="14">
        <v>912.75</v>
      </c>
      <c r="H52" s="5"/>
    </row>
    <row r="53" spans="1:8">
      <c r="A53" s="8" t="s">
        <v>27</v>
      </c>
      <c r="B53" s="19">
        <v>49</v>
      </c>
      <c r="C53" s="5" t="s">
        <v>96</v>
      </c>
      <c r="D53" s="22">
        <v>46280</v>
      </c>
      <c r="E53" s="5" t="s">
        <v>39</v>
      </c>
      <c r="F53" s="5" t="s">
        <v>33</v>
      </c>
      <c r="G53" s="5">
        <v>12064</v>
      </c>
      <c r="H53" s="5">
        <v>15</v>
      </c>
    </row>
    <row r="54" spans="1:8">
      <c r="A54" s="8" t="s">
        <v>27</v>
      </c>
      <c r="B54" s="19">
        <v>50</v>
      </c>
      <c r="C54" s="5" t="s">
        <v>97</v>
      </c>
      <c r="D54" s="22">
        <v>46266</v>
      </c>
      <c r="E54" s="5" t="s">
        <v>47</v>
      </c>
      <c r="F54" s="5" t="s">
        <v>33</v>
      </c>
      <c r="G54" s="5">
        <v>2567</v>
      </c>
      <c r="H54" s="5">
        <v>15</v>
      </c>
    </row>
    <row r="55" spans="1:8">
      <c r="A55" s="8" t="s">
        <v>27</v>
      </c>
      <c r="B55" s="19">
        <v>51</v>
      </c>
      <c r="C55" s="5" t="s">
        <v>98</v>
      </c>
      <c r="D55" s="22">
        <v>46266</v>
      </c>
      <c r="E55" s="5" t="s">
        <v>47</v>
      </c>
      <c r="F55" s="5" t="s">
        <v>40</v>
      </c>
      <c r="G55" s="5">
        <v>4082</v>
      </c>
      <c r="H55" s="5">
        <v>5</v>
      </c>
    </row>
    <row r="56" spans="1:8">
      <c r="A56" s="8" t="s">
        <v>27</v>
      </c>
      <c r="B56" s="19">
        <v>52</v>
      </c>
      <c r="C56" s="5" t="s">
        <v>99</v>
      </c>
      <c r="D56" s="22">
        <v>46272</v>
      </c>
      <c r="E56" s="5" t="s">
        <v>42</v>
      </c>
      <c r="F56" s="5" t="s">
        <v>33</v>
      </c>
      <c r="G56" s="5">
        <v>7526</v>
      </c>
      <c r="H56" s="5"/>
    </row>
    <row r="57" spans="1:8">
      <c r="A57" s="8" t="s">
        <v>27</v>
      </c>
      <c r="B57" s="19">
        <v>53</v>
      </c>
      <c r="C57" s="5" t="s">
        <v>100</v>
      </c>
      <c r="D57" s="22">
        <v>46278</v>
      </c>
      <c r="E57" s="5" t="s">
        <v>32</v>
      </c>
      <c r="F57" s="5" t="s">
        <v>33</v>
      </c>
      <c r="G57" s="5">
        <v>12050</v>
      </c>
      <c r="H57" s="5">
        <v>10</v>
      </c>
    </row>
    <row r="58" spans="1:8">
      <c r="A58" s="8" t="s">
        <v>27</v>
      </c>
      <c r="B58" s="19">
        <v>54</v>
      </c>
      <c r="C58" s="5" t="s">
        <v>101</v>
      </c>
      <c r="D58" s="22">
        <v>46284</v>
      </c>
      <c r="E58" s="5" t="s">
        <v>45</v>
      </c>
      <c r="F58" s="5" t="s">
        <v>33</v>
      </c>
      <c r="G58" s="14">
        <v>564.004</v>
      </c>
      <c r="H58" s="5">
        <v>10</v>
      </c>
    </row>
    <row r="59" spans="1:8">
      <c r="A59" s="8" t="s">
        <v>27</v>
      </c>
      <c r="B59" s="19">
        <v>55</v>
      </c>
      <c r="C59" s="5"/>
      <c r="D59" s="22">
        <v>46267</v>
      </c>
      <c r="E59" s="5" t="s">
        <v>37</v>
      </c>
      <c r="F59" s="5" t="s">
        <v>33</v>
      </c>
      <c r="G59" s="5">
        <v>1000</v>
      </c>
      <c r="H59" s="5"/>
    </row>
    <row r="60" spans="1:8">
      <c r="A60" s="8" t="s">
        <v>27</v>
      </c>
      <c r="B60" s="19">
        <v>56</v>
      </c>
      <c r="C60" s="5" t="s">
        <v>102</v>
      </c>
      <c r="D60" s="22">
        <v>46266</v>
      </c>
      <c r="E60" s="5" t="s">
        <v>71</v>
      </c>
      <c r="F60" s="5" t="s">
        <v>33</v>
      </c>
      <c r="G60" s="5">
        <v>25099</v>
      </c>
      <c r="H60" s="5"/>
    </row>
    <row r="61" spans="1:8">
      <c r="A61" s="8" t="s">
        <v>27</v>
      </c>
      <c r="B61" s="19">
        <v>57</v>
      </c>
      <c r="C61" s="5" t="s">
        <v>103</v>
      </c>
      <c r="D61" s="22">
        <v>46269</v>
      </c>
      <c r="E61" s="5" t="s">
        <v>65</v>
      </c>
      <c r="F61" s="5" t="s">
        <v>33</v>
      </c>
      <c r="G61" s="5">
        <v>1072</v>
      </c>
      <c r="H61" s="5">
        <v>10</v>
      </c>
    </row>
    <row r="62" spans="1:8">
      <c r="A62" s="8" t="s">
        <v>27</v>
      </c>
      <c r="B62" s="19">
        <v>58</v>
      </c>
      <c r="C62" s="5" t="s">
        <v>104</v>
      </c>
      <c r="D62" s="22">
        <v>46270</v>
      </c>
      <c r="E62" s="5" t="s">
        <v>32</v>
      </c>
      <c r="F62" s="5" t="s">
        <v>40</v>
      </c>
      <c r="G62" s="5">
        <v>548</v>
      </c>
      <c r="H62" s="5">
        <v>10</v>
      </c>
    </row>
    <row r="63" spans="1:8">
      <c r="A63" s="8" t="s">
        <v>27</v>
      </c>
      <c r="B63" s="19">
        <v>59</v>
      </c>
      <c r="C63" s="5" t="s">
        <v>105</v>
      </c>
      <c r="D63" s="22">
        <v>46272</v>
      </c>
      <c r="E63" s="5" t="s">
        <v>45</v>
      </c>
      <c r="F63" s="5" t="s">
        <v>33</v>
      </c>
      <c r="G63" s="5">
        <v>1026</v>
      </c>
      <c r="H63" s="5">
        <v>5</v>
      </c>
    </row>
  </sheetData>
  <autoFilter ref="A4:H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الملخص</vt:lpstr>
      <vt:lpstr>جدول المطابقة</vt:lpstr>
      <vt:lpstr>جدول الفروقات</vt:lpstr>
      <vt:lpstr>للمراجعة</vt:lpstr>
      <vt:lpstr>بيانات المحاسب</vt:lpstr>
      <vt:lpstr>بيانات الصرافة</vt:lpstr>
      <vt:lpstr>'جدول المطابقة'!Print_Titles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المطابقة والتسوية المالية</dc:title>
  <dc:creator>المطابقة والتسوية المالية</dc:creator>
  <dc:description>تم إنشاؤه آلياً</dc:description>
  <cp:lastModifiedBy>المطابقة والتسوية المالية</cp:lastModifiedBy>
  <dcterms:created xsi:type="dcterms:W3CDTF">2026-10-28T02:54:47Z</dcterms:created>
  <dcterms:modified xsi:type="dcterms:W3CDTF">2026-10-28T02:54:47Z</dcterms:modified>
</cp:coreProperties>
</file>